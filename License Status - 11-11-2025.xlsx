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JAY\aj\Warehouse Documents\"/>
    </mc:Choice>
  </mc:AlternateContent>
  <bookViews>
    <workbookView xWindow="0" yWindow="0" windowWidth="20490" windowHeight="6855"/>
  </bookViews>
  <sheets>
    <sheet name="AWPL" sheetId="1" r:id="rId1"/>
    <sheet name="KI AGRI" sheetId="4" r:id="rId2"/>
    <sheet name="Repacker" sheetId="6" r:id="rId3"/>
    <sheet name="Sheet2" sheetId="7" r:id="rId4"/>
    <sheet name="Sheet3" sheetId="8" r:id="rId5"/>
  </sheets>
  <definedNames>
    <definedName name="_xlnm._FilterDatabase" localSheetId="0" hidden="1">AWPL!$A$2:$X$64</definedName>
    <definedName name="_xlnm._FilterDatabase" localSheetId="1" hidden="1">'KI AGRI'!$A$2:$M$11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8" i="1" l="1"/>
  <c r="A19" i="1"/>
  <c r="A20" i="1"/>
  <c r="J7" i="8" l="1"/>
  <c r="A47" i="1" l="1"/>
  <c r="A52" i="1" l="1"/>
  <c r="A53" i="1" s="1"/>
  <c r="A54" i="1" s="1"/>
  <c r="A13" i="6" l="1"/>
  <c r="A6" i="6"/>
  <c r="A7" i="6" s="1"/>
  <c r="A8" i="6" s="1"/>
  <c r="A9" i="6" s="1"/>
  <c r="A10" i="6" s="1"/>
  <c r="A21" i="4" l="1"/>
  <c r="A22" i="4" s="1"/>
  <c r="A16" i="4"/>
  <c r="A17" i="4" s="1"/>
  <c r="A18" i="4" s="1"/>
  <c r="A5" i="4"/>
  <c r="A6" i="4" s="1"/>
  <c r="A7" i="4" s="1"/>
  <c r="A8" i="4" s="1"/>
  <c r="A9" i="4" s="1"/>
  <c r="A10" i="4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21" i="1" s="1"/>
  <c r="A22" i="1" s="1"/>
  <c r="A23" i="1" s="1"/>
  <c r="A24" i="1" s="1"/>
  <c r="A25" i="1" s="1"/>
  <c r="A26" i="1" s="1"/>
  <c r="A27" i="1" l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l="1"/>
  <c r="A39" i="1" s="1"/>
  <c r="A40" i="1" s="1"/>
  <c r="A41" i="1" s="1"/>
</calcChain>
</file>

<file path=xl/comments1.xml><?xml version="1.0" encoding="utf-8"?>
<comments xmlns="http://schemas.openxmlformats.org/spreadsheetml/2006/main">
  <authors>
    <author>LENOVO</author>
  </authors>
  <commentList>
    <comment ref="M18" authorId="0" shapeId="0">
      <text>
        <r>
          <rPr>
            <b/>
            <sz val="9"/>
            <color indexed="81"/>
            <rFont val="Tahoma"/>
            <family val="2"/>
          </rPr>
          <t>LENOVO:yet to get increase manpower 
applied copy</t>
        </r>
      </text>
    </comment>
    <comment ref="M19" authorId="0" shapeId="0">
      <text>
        <r>
          <rPr>
            <b/>
            <sz val="9"/>
            <color indexed="81"/>
            <rFont val="Tahoma"/>
            <family val="2"/>
          </rPr>
          <t>LENOVO:yet to get increase manpower 
applied copy</t>
        </r>
      </text>
    </comment>
  </commentList>
</comments>
</file>

<file path=xl/comments2.xml><?xml version="1.0" encoding="utf-8"?>
<comments xmlns="http://schemas.openxmlformats.org/spreadsheetml/2006/main">
  <authors>
    <author>LENOVO</author>
  </authors>
  <commentList>
    <comment ref="H12" authorId="0" shape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Direct Company
</t>
        </r>
      </text>
    </comment>
  </commentList>
</comments>
</file>

<file path=xl/sharedStrings.xml><?xml version="1.0" encoding="utf-8"?>
<sst xmlns="http://schemas.openxmlformats.org/spreadsheetml/2006/main" count="827" uniqueCount="344">
  <si>
    <t>Company</t>
  </si>
  <si>
    <t>Access Warehousing Pvt. Ltd.</t>
  </si>
  <si>
    <t xml:space="preserve">ITC Limited </t>
  </si>
  <si>
    <t>Kellogg India Pvt Ltd.</t>
  </si>
  <si>
    <t>Metro Cash &amp; Carry India Pvt .Ltd</t>
  </si>
  <si>
    <t>Kiranakart Technologies Pvt LTd</t>
  </si>
  <si>
    <t>VRB Consumer Products Pvt Ltd</t>
  </si>
  <si>
    <t>HEAD OFFICE</t>
  </si>
  <si>
    <t>NRR</t>
  </si>
  <si>
    <t>KSWC</t>
  </si>
  <si>
    <t>Siddeshwara</t>
  </si>
  <si>
    <t>Sarojadevi</t>
  </si>
  <si>
    <t>Ruchi Logistics</t>
  </si>
  <si>
    <t>Nataraj</t>
  </si>
  <si>
    <t>Warehouse Address</t>
  </si>
  <si>
    <t>#37/4, 2nd Floor, 80ft Road, KHB Colony, 1st Stage, Basaveshwaranagar, Bengaluru-560079</t>
  </si>
  <si>
    <t>Survey No.9/4A,9/4B, 9/2, &amp; 9/8, at Arjunabettahalli village, Madurai Road, Nelamangala Taluk, Bangalore - 562123</t>
  </si>
  <si>
    <t>Plot No.17 &amp; 42, Aliyabad Block, II Industrial Area, KIADB , Vijaypura - 586101.</t>
  </si>
  <si>
    <t>Survey No.45/1, Heggadadevanapur Village, Dasanapura Hobli, Bengaluru North Taluk - 562123.</t>
  </si>
  <si>
    <t>Survey No.13/5,13/6,13/7, Yalachanayakanapura village, Kasaba hobli, Hosakote Taluk, Bengaluru Rural - 562114</t>
  </si>
  <si>
    <t>Survey no.65/1, Heggadadevanapura Village, Dasnaapur Hobli, Huskur Road, Bengaluru-562162</t>
  </si>
  <si>
    <t>Expiry Date</t>
  </si>
  <si>
    <t>FSSAI License No.</t>
  </si>
  <si>
    <t>Shop &amp; Establishment License No.</t>
  </si>
  <si>
    <t>GST included</t>
  </si>
  <si>
    <t>Packing License No.</t>
  </si>
  <si>
    <t>11221320000290</t>
  </si>
  <si>
    <t>11220307000042</t>
  </si>
  <si>
    <t>10/100/CE/1288/2013</t>
  </si>
  <si>
    <t>NML/GOL/S/0003/2020</t>
  </si>
  <si>
    <t>NML/NEL/S/0036/2020</t>
  </si>
  <si>
    <t>NML/ARJ/S/0001/2015</t>
  </si>
  <si>
    <t>Mal/MAL/CE/001.2021</t>
  </si>
  <si>
    <t>BI1/1/CE/0040/2020</t>
  </si>
  <si>
    <t>27/DAS/CE/0001/2013</t>
  </si>
  <si>
    <t>27/HEG/S/0003/2015</t>
  </si>
  <si>
    <t>HKT/YEL/CE/0001/2022</t>
  </si>
  <si>
    <t>Great White Global Pvt Ltd</t>
  </si>
  <si>
    <t>Niine Private Limited</t>
  </si>
  <si>
    <t>Survey No.47/2 &amp; 45/2, Railway Gollahally Post, Nelamangala Taluk, Bengaluru - 562123</t>
  </si>
  <si>
    <t>Survey No.44/2 &amp; 44/3A, Railway Gollahally Post, Nelamangala Taluk, Bengaluru - 562123</t>
  </si>
  <si>
    <t xml:space="preserve">Warehouse / Owner Name </t>
  </si>
  <si>
    <t>Puttaraju</t>
  </si>
  <si>
    <t>N/A</t>
  </si>
  <si>
    <t>Sl. No.</t>
  </si>
  <si>
    <t>Cogent Transware Solutions Pvt Ltd</t>
  </si>
  <si>
    <t>United Breweries Ltd--Bengaluru</t>
  </si>
  <si>
    <t>K B Boregowda</t>
  </si>
  <si>
    <t>Location / City</t>
  </si>
  <si>
    <t>Bangalore</t>
  </si>
  <si>
    <t>Hubli</t>
  </si>
  <si>
    <t>Malur</t>
  </si>
  <si>
    <t>Bijapur</t>
  </si>
  <si>
    <t>Hyderabad</t>
  </si>
  <si>
    <t>Chennai</t>
  </si>
  <si>
    <t>05-05-2022  TO 31-12-2026</t>
  </si>
  <si>
    <t>02-01-2023 TO 31-12-2027</t>
  </si>
  <si>
    <t>03-01-2021 TO 31-12-2025</t>
  </si>
  <si>
    <t>RC Date</t>
  </si>
  <si>
    <t>DCLM/PCR/CR-1145582/22-23</t>
  </si>
  <si>
    <t>Remarks</t>
  </si>
  <si>
    <t>Not Applied</t>
  </si>
  <si>
    <t>YES</t>
  </si>
  <si>
    <t>Moksh Enterprises Private Limited</t>
  </si>
  <si>
    <t>Green Vision</t>
  </si>
  <si>
    <t>T. Begur</t>
  </si>
  <si>
    <t>Makali, Blr</t>
  </si>
  <si>
    <t>Kiranakart Technologies Pvt LTd FnV</t>
  </si>
  <si>
    <t>Kiranakart Technologies Pvt LTd Grocery</t>
  </si>
  <si>
    <t>Kiranakart Technologies Pvt LTd Superstore</t>
  </si>
  <si>
    <t>Transportation</t>
  </si>
  <si>
    <t>Mahadev</t>
  </si>
  <si>
    <t>Girija</t>
  </si>
  <si>
    <t>Ashwin</t>
  </si>
  <si>
    <t>Egwood</t>
  </si>
  <si>
    <t>Mahender reddy</t>
  </si>
  <si>
    <t>Sy. No. 10, Makali Village, Dasanpura Hobli, Bangalore 562162</t>
  </si>
  <si>
    <t>Goa</t>
  </si>
  <si>
    <t>Hindustan Coca Cola Beverages Pvt Ltd</t>
  </si>
  <si>
    <t>Cochin</t>
  </si>
  <si>
    <t>#45/5B-1, Tonachinakuppe Village, Kasaba Hobli, Nelamangala, Bangalore 562123</t>
  </si>
  <si>
    <t>D.NO.3-125/12/1/1 AND A, THUMKUNTA, Shamirpet, Medchal_x0002_Malkajgiri, Telangana, 500078</t>
  </si>
  <si>
    <t>No.24, Vanagaram Ambattur Road, Kel Aynambakkam, Ambathur Mpty Ward-86, Thiruvallur, Tamil Nadu, 600095</t>
  </si>
  <si>
    <t>Sy No 129/2. Kandlakoi Village, Medchal Mandal, Ranga Reddy District, Hyderabad - 501401</t>
  </si>
  <si>
    <t xml:space="preserve"> 1/467, Seminary Road, Thottakkattukara, Aluva, Aluva Circle, Ernakulam, Kerala-683102</t>
  </si>
  <si>
    <t>Survey no.39/1,39/5, Yedehalli village, Sompura Hobli, Nelamangala taluk, Bangalore 562111</t>
  </si>
  <si>
    <t>(KSWC) Survey No.24, Irabanahalli Village, Nandigudu Road, Kasaba Hobli, Malur Taluk, Kolar 563130</t>
  </si>
  <si>
    <t>Green Agrevolution Ltd.</t>
  </si>
  <si>
    <t>Works</t>
  </si>
  <si>
    <t>WSP</t>
  </si>
  <si>
    <t>63Ideas Infolabs Pvt Ltd (Ninjakart)</t>
  </si>
  <si>
    <t>Manpower</t>
  </si>
  <si>
    <t>13624034000641</t>
  </si>
  <si>
    <t>16-09-2024 to 15-09-2026</t>
  </si>
  <si>
    <t xml:space="preserve"> 11224303000458</t>
  </si>
  <si>
    <t>11224302000695</t>
  </si>
  <si>
    <t>25-06-2024 to 24-06-2025</t>
  </si>
  <si>
    <t>13624007000012</t>
  </si>
  <si>
    <t>10624001000141</t>
  </si>
  <si>
    <t>DIRECT</t>
  </si>
  <si>
    <t>11224303000361</t>
  </si>
  <si>
    <t>19-06-2024 to 18-06-2025</t>
  </si>
  <si>
    <t>TAMILNADU</t>
  </si>
  <si>
    <t>KARNATAKA</t>
  </si>
  <si>
    <t>TELANGANA</t>
  </si>
  <si>
    <t>GOA</t>
  </si>
  <si>
    <t>KERALA</t>
  </si>
  <si>
    <t>Shop &amp; Establishment 
License No.</t>
  </si>
  <si>
    <t>Pilappa</t>
  </si>
  <si>
    <t>SURVEY NO.27/14, CHIMASANDRA VILLAGE 
BIDHARAHALLI HOBLI, VIGONAGAR POST 
BANGALORE, Bangalore East, Bangalore 
Urban, Karnataka-560049</t>
  </si>
  <si>
    <t>11224302001119</t>
  </si>
  <si>
    <t>07-06-2024 TO 06-06-2025</t>
  </si>
  <si>
    <t>Chikaballapur</t>
  </si>
  <si>
    <t>Sy No. 231, Kasba Hobli, Tippenahalli, Chikaballapur, Karnataka - 562103</t>
  </si>
  <si>
    <t>11221309000293</t>
  </si>
  <si>
    <t>CBP/THI/CE/0002/2022</t>
  </si>
  <si>
    <t xml:space="preserve"> 31-12-2026</t>
  </si>
  <si>
    <t>SY NO 133/2, GANGANAMIDDE VILLAGE, KASABA HOBLI, 
CHIKKABALLAPUR, GANGANAMIDDE, CHIKKABALLAPUR, 
562101</t>
  </si>
  <si>
    <t>CBP/GAN/CE/0001/2022</t>
  </si>
  <si>
    <t>General Mills</t>
  </si>
  <si>
    <t>SURVEY NO.44/2, 44/3A, RAILWAY GOLLHALLY 
POST, BENGALURU, Bangalore North, 
Bangalore Urban, Karnataka-562162</t>
  </si>
  <si>
    <t>11223303000277</t>
  </si>
  <si>
    <t>Krishnamurthy</t>
  </si>
  <si>
    <t xml:space="preserve">SY NO, 2 MALAGALA NAGARABHAVI 2ND 
STAGE, BANGALORE VISHWANEEDAM , 
Vijayanagara, B.B.M.P West, Karnataka-560091
</t>
  </si>
  <si>
    <t>NO.1, KATHA NO 3/2/1, WHICH CONSISTING 
GROUND FLOOR NEXT TO JP BADMINTON 
COURT, TELECOM LAYOUT, SRIRAMAPURA 
GRAMATANA, JAKKUR POST, YELAHANKA, 
BANGALORE, Yelahanka, B.B.M.P North, 
Karnataka-560064</t>
  </si>
  <si>
    <t xml:space="preserve"> "11224331001480</t>
  </si>
  <si>
    <t>11-09-2024 to 10-09-2025</t>
  </si>
  <si>
    <t>Mandya</t>
  </si>
  <si>
    <t>Sy, No. 59/6, M Shettihalli, Melukote Hobli, Pandavapura Taluk, Mandya, Karnataka - 571434</t>
  </si>
  <si>
    <t>NO</t>
  </si>
  <si>
    <t>Genearl Mills</t>
  </si>
  <si>
    <t>Anjanadri warehouse, Sy No. 3/1, Agrahara Village, Bidarahalli Hobli, Bangalore 560049</t>
  </si>
  <si>
    <t>SY NO:70,71,72,73(JANDAPALLY), 764(TOOPRAN),S HED NO:2&amp; SHED NO:6, JANDAPALLY,TOOPRAN, Tupran, Medak, Telangana-502335</t>
  </si>
  <si>
    <t>K I Agribusiness Pvt. Ltd.</t>
  </si>
  <si>
    <t>SEA/MED/ACL/PC/0939774/2024</t>
  </si>
  <si>
    <t>Accex Supply Chain Pvt Ltd</t>
  </si>
  <si>
    <t>11324007002029</t>
  </si>
  <si>
    <t>25-10-2024 to 24-10-2025</t>
  </si>
  <si>
    <t>NML/TON/CE/0001/2024</t>
  </si>
  <si>
    <t>02-04-2024 TO 31-12-2028</t>
  </si>
  <si>
    <t>applied</t>
  </si>
  <si>
    <t>27/MAK/CE/0016/2023</t>
  </si>
  <si>
    <t>21-12-2023 to 31-12-2027</t>
  </si>
  <si>
    <t>11224322000481</t>
  </si>
  <si>
    <t>21-11-2024 to 20-11-2025</t>
  </si>
  <si>
    <t>13-11-2024 to 12-11-2025</t>
  </si>
  <si>
    <t>11224309000221</t>
  </si>
  <si>
    <t>PRAKASH K R</t>
  </si>
  <si>
    <t>FSSAI</t>
  </si>
  <si>
    <t>ACCESS WAREHOUSING</t>
  </si>
  <si>
    <t>13624034000682</t>
  </si>
  <si>
    <t>13624034000801</t>
  </si>
  <si>
    <t>23-11-2024 TO 22-11-2025</t>
  </si>
  <si>
    <t>13622034000185</t>
  </si>
  <si>
    <t>signature copy reqd</t>
  </si>
  <si>
    <t>20-12-2024 TO 31-12-2029</t>
  </si>
  <si>
    <t>11224302002643</t>
  </si>
  <si>
    <t>13-12-2024 to 12-12-2025</t>
  </si>
  <si>
    <t>Survey No. 88/2,  88/8 ,  88/7 and 90/1 , Cholappanahalli Village, Chintamani Road, Sulibele Hobli, Hoskote Taluk -  562114.</t>
  </si>
  <si>
    <t>Revanasiddeswar</t>
  </si>
  <si>
    <t>Sy no 12 /7,  Malghan, Taluk – Kolhar,
Dist Vijayapura, Pincode - 586121</t>
  </si>
  <si>
    <t>Sy No. 128/1, No. 24, Vanagaram Ambattur Road, Kel Aynambakkam, Tamil Nadu, 600095</t>
  </si>
  <si>
    <t>c/o Munavali Enterprises, Sy No. 92/2A/1+2B/1+2A/2+ 2B/2/A, Gadag Road, Hubli - 580020</t>
  </si>
  <si>
    <t>Krishnappa / Manjunath</t>
  </si>
  <si>
    <t>RENTAL</t>
  </si>
  <si>
    <t>Jagdeesh</t>
  </si>
  <si>
    <t>Sumant Gowda</t>
  </si>
  <si>
    <t>11225303000003</t>
  </si>
  <si>
    <t>03-01-2025 to 02-01-2026</t>
  </si>
  <si>
    <t>02-01-2025 TO 31-12-2029</t>
  </si>
  <si>
    <t>23-12-2024 to 31-12-2029</t>
  </si>
  <si>
    <t>SH070790013876</t>
  </si>
  <si>
    <t>11225307000028</t>
  </si>
  <si>
    <t>Sy no 220 / 1, Plot No. 6 &amp; 7,  KIADB Industrial area, Road no.5, Aliyabad, Block-1, Vijayapura – 586104</t>
  </si>
  <si>
    <t>Belgaum</t>
  </si>
  <si>
    <t>SURVEY NO 1127/9, MARUTHI NAGAR AIRPORT 
ROAD BELAGAVI, Belgaum Mahanagar Palike, 
Belgaum, Karnataka-590016</t>
  </si>
  <si>
    <t>11225304000100</t>
  </si>
  <si>
    <t xml:space="preserve"> 24-01-2025 to 21-01-2026</t>
  </si>
  <si>
    <t>BE3/4/CE/0013/2025</t>
  </si>
  <si>
    <t xml:space="preserve">21-01-2025 to 31-12-2029                                                  </t>
  </si>
  <si>
    <t>05-02-2025 to 09-02-2026</t>
  </si>
  <si>
    <t>11225303000105</t>
  </si>
  <si>
    <t>REPACKER</t>
  </si>
  <si>
    <t>18-02-2025 to 
17-02-2026</t>
  </si>
  <si>
    <t>Devikaben</t>
  </si>
  <si>
    <t>SURVEY NO 1127/9, MARUTHI NAGAR AIRPORT ROAD BELAGAVI,
Belgaum, Karnataka-590016</t>
  </si>
  <si>
    <t xml:space="preserve">K I AGRIBUSINESS </t>
  </si>
  <si>
    <t>11225307000063</t>
  </si>
  <si>
    <t>Sangeeta agro industries/ Ankita Rajesh</t>
  </si>
  <si>
    <t>OTHER THAN KARNATAKA</t>
  </si>
  <si>
    <t>04-01-2025 TO 31-12-2029</t>
  </si>
  <si>
    <t>07-01-2025 TO 31-12-2029</t>
  </si>
  <si>
    <t>HKT/CHO/CE/0001/2025</t>
  </si>
  <si>
    <t>YET TO GET APPLIED COPY</t>
  </si>
  <si>
    <t>yet to get applied copy</t>
  </si>
  <si>
    <t># 8-77/10, Sy No 703/704,
Devaryamjal, Shamirpet Manadal
Medchal, Hyderabad - 500014</t>
  </si>
  <si>
    <t>ANDHRA PRADESH</t>
  </si>
  <si>
    <t>11225332000250</t>
  </si>
  <si>
    <t>06-03-2025 to 05-03-2026</t>
  </si>
  <si>
    <t>Kiranakart Technologies Pvt LTd    MH1</t>
  </si>
  <si>
    <t>Kiranakart Technologies Pvt LTd   MH2</t>
  </si>
  <si>
    <t>applied on  01/01/2025, yet to get license copy</t>
  </si>
  <si>
    <t xml:space="preserve">04-09-2024 to </t>
  </si>
  <si>
    <t xml:space="preserve">Issued on 23/11/2024 </t>
  </si>
  <si>
    <t>K C RAMU</t>
  </si>
  <si>
    <t>14-02-2025 to 13-06-2026</t>
  </si>
  <si>
    <t>29/CHE/CE/0013/2022</t>
  </si>
  <si>
    <t>KRL/JCCZ/P-767/2025</t>
  </si>
  <si>
    <t>CLM/PCR/CR-1145186/21-22</t>
  </si>
  <si>
    <t>TG_TL_2024_1231/0503</t>
  </si>
  <si>
    <t>TG_TL_2024_1230/0311</t>
  </si>
  <si>
    <t>1145582/16-17</t>
  </si>
  <si>
    <t>Amazon Seller Services Pvt. Ltd.</t>
  </si>
  <si>
    <t>JP Nagar</t>
  </si>
  <si>
    <t>Arekere</t>
  </si>
  <si>
    <t>No. 22/1-23, 
Chunchaghatta Gramatana, Uttarahalli, JP 
Nagar 7th Phase Eswara Layout Bangalore, 
BTM Layout, B.B.M.P South, Karnataka-560078</t>
  </si>
  <si>
    <t>11225334000980</t>
  </si>
  <si>
    <t>No. 87/15, K NO 1785/87/15/638/2, Arekere Village, Begur Hobli, Bangalore, Karnataka - 560076</t>
  </si>
  <si>
    <t>18/192/CE/0248/2025</t>
  </si>
  <si>
    <t xml:space="preserve"> '11225334000981</t>
  </si>
  <si>
    <t>11224332001073</t>
  </si>
  <si>
    <t xml:space="preserve"> 03-06-2025 to 06-06-2026</t>
  </si>
  <si>
    <t>09-06-2025 to 08-06-2026</t>
  </si>
  <si>
    <t>12425023000995</t>
  </si>
  <si>
    <t>Sy No. 31/2, SITE new, No. 1 &amp; old no. 30, 7th C main road, Muthyalanagar Yeshwanthpur, Bangalore- 560054</t>
  </si>
  <si>
    <t>10 &amp; 11,no 3/3, Rajagopal Road Geddalahalli Sanjaynagar Bangalore Karnataka - 560094</t>
  </si>
  <si>
    <t>Mathikere</t>
  </si>
  <si>
    <t>Sanjaynagar</t>
  </si>
  <si>
    <t>11-06-2025 to 01-07-2026</t>
  </si>
  <si>
    <t xml:space="preserve"> V-204 , SY.NO 28/1-A, 28/1-B , ARVALEM , 
Bicholim, North Goa , Goa-403505</t>
  </si>
  <si>
    <t>Zomato - Logistics</t>
  </si>
  <si>
    <t>Hoskote</t>
  </si>
  <si>
    <t>Abigere</t>
  </si>
  <si>
    <t>Bagalkunte</t>
  </si>
  <si>
    <t>Nagasandra</t>
  </si>
  <si>
    <t>NO.30/29, KH NO 32, ABBIGERE VILLEGE,
CHIKKABANAWARA BENGALORE, Dasarahalli,
B.B.M.P North, Karnataka-560090</t>
  </si>
  <si>
    <t>1St floor, Khatha no 9 , Sy no 12 &amp; 14/1 , ward no 14: Bagalakunte, Bagalakunte village, Yeshwanthpur Hobli, bangalore, Karnataka- 560090</t>
  </si>
  <si>
    <t>Validity till 
20-05-2027</t>
  </si>
  <si>
    <t>Validity till 
06-07-2027</t>
  </si>
  <si>
    <t>Validity till 
23-07-2027</t>
  </si>
  <si>
    <t>Validity till 
27-07-2027</t>
  </si>
  <si>
    <t>Validity till 
31-12-2029</t>
  </si>
  <si>
    <t>Validity till
31-03-2026</t>
  </si>
  <si>
    <t>CLRA No.</t>
  </si>
  <si>
    <t>11225331001261</t>
  </si>
  <si>
    <t>11225331001271</t>
  </si>
  <si>
    <t>11225331001128</t>
  </si>
  <si>
    <t>11225331001130</t>
  </si>
  <si>
    <t>40/12/CE/0045/2025</t>
  </si>
  <si>
    <t>27/14/CE/0375/2025</t>
  </si>
  <si>
    <t>25/17/CE/0017/2025</t>
  </si>
  <si>
    <t>28/184/CE/0090/2025</t>
  </si>
  <si>
    <t>ALC-B-2/CLA/P-11234054/2025-26</t>
  </si>
  <si>
    <t>ALC-B-4/CLA/P-11232758/2025-26</t>
  </si>
  <si>
    <t xml:space="preserve"> ALC-B-1/CLA/P-11234208/2025-26</t>
  </si>
  <si>
    <t>ALC-B-2/CLA/P-11232759/2025-26</t>
  </si>
  <si>
    <t>ALC-B-1/CLA/P-11233621/2025-26</t>
  </si>
  <si>
    <t>ALC-B-1/CLA/P-11233619/2025-26</t>
  </si>
  <si>
    <t>TRADE License No.</t>
  </si>
  <si>
    <t xml:space="preserve"> 45/19/CE/0062/2025</t>
  </si>
  <si>
    <t>validity till 30-07-2027</t>
  </si>
  <si>
    <t>validity till 13-07-2026</t>
  </si>
  <si>
    <t>validity till  05-02-2026</t>
  </si>
  <si>
    <t>validity till  08-01-2026</t>
  </si>
  <si>
    <t>validity till 12-02-2026</t>
  </si>
  <si>
    <t>validity till  06-12-2025</t>
  </si>
  <si>
    <t>validity till  03-04-2026</t>
  </si>
  <si>
    <t>validity till  17-02-2026</t>
  </si>
  <si>
    <t>validity till 18-06-2027</t>
  </si>
  <si>
    <t>validity till 02-01-2026</t>
  </si>
  <si>
    <t>validity till  12-12-2025</t>
  </si>
  <si>
    <t>validity till 21-01-2026</t>
  </si>
  <si>
    <t>SY NO 224/2&amp; SY NO 225,THORNAHALLI
VILLEGE,KASABA HOBLI,MALUR TALUK,KOLAR ,
Malur, Kolar, Karnataka-562114</t>
  </si>
  <si>
    <t>11225320000320</t>
  </si>
  <si>
    <t>Validity till 23-07-2027</t>
  </si>
  <si>
    <t>27/NAG/CE/0024/2025</t>
  </si>
  <si>
    <t>Ground Floor,536/ Khata No DR/249/15/16, Converted Sy No 14,
Yeshwanthpura Hobli, Nagasandra Village, Bangalore North, 560073</t>
  </si>
  <si>
    <t>ALC-B-1/CLA/P-11234310/2025-26</t>
  </si>
  <si>
    <t>Pest Control License</t>
  </si>
  <si>
    <t>Fire NOC</t>
  </si>
  <si>
    <t>Jayanagar</t>
  </si>
  <si>
    <t>ALC-B-2/CLA/P-11234900/2025-26</t>
  </si>
  <si>
    <t>Ground Floor, Old Municipal no:267, New
Number 6, PID No:60-98-6, 9th A Main Road,3rd Block, Jayanagar, Bangalore-560011</t>
  </si>
  <si>
    <t>14/153/CE/0191/2025</t>
  </si>
  <si>
    <t>11225334001949</t>
  </si>
  <si>
    <t xml:space="preserve">Validity till 11-09-2027
</t>
  </si>
  <si>
    <t>11225303000492</t>
  </si>
  <si>
    <t>Wh. No.1, Survey Nos. 56/1 and 58/1,
Mutasandra, Hasigala, Sulibele Hobli, Hoskote
Taluk, Hosakote, Bangalore Rural,
Karnataka-562114</t>
  </si>
  <si>
    <t>Validity till 10-09-2027</t>
  </si>
  <si>
    <t>11225331001560</t>
  </si>
  <si>
    <t>Validity till 14-09-2027</t>
  </si>
  <si>
    <t>HKT/SUL/CE/0009/2025</t>
  </si>
  <si>
    <t>Warehouse No 1, Survey No 45/5B1, 45/5B2, 45/3B1, 45/3B2,  45/11, 45/7B1,  45/4B1, 45/7B2,  45/4B2, Tonachinakuppe village, Kasaba Hobli, Nelamangla Taluk, Bangalore Rural District - 562123</t>
  </si>
  <si>
    <t>validity till 09-10-2027</t>
  </si>
  <si>
    <t>Qwik Supply Chain Private Limited (Jio Mart)</t>
  </si>
  <si>
    <t>Wh. No.2, Survey Nos. 56/1 and 58/1,
Mutasandra, Hasigala, Sulibele Hobli, Hoskote
Taluk, Hosakote, Bangalore Rural,
Karnataka-562114</t>
  </si>
  <si>
    <t>SY NO:13/1,13/2A,WARD NO:2,RAYANAPADU
VILLAGE, Vijayawada (Urban), N T R, Andhra
Pradesh-521241</t>
  </si>
  <si>
    <t>10125020000105</t>
  </si>
  <si>
    <t>17-02-2025 to 16-02-2026</t>
  </si>
  <si>
    <t>26-08-2025 TO 09-09-2026</t>
  </si>
  <si>
    <t>11225303000547</t>
  </si>
  <si>
    <t>Validity till 13-10-2027</t>
  </si>
  <si>
    <t>15-10-2025 to 14-10-2026</t>
  </si>
  <si>
    <t>25-10-2025 to 24-10-2026</t>
  </si>
  <si>
    <t>KI AGRIBUSINESS -  ALL LICENSES STATUS AS ON DT.31-10-2025</t>
  </si>
  <si>
    <t>PLOT NO 91 AND 104, NANDUR KESARATGI, INDL AREA
SHAHABAD ROAD, INDL AREA SHAHABAD ROAD, GULBARGA,
GULBARGA, 585104,</t>
  </si>
  <si>
    <t>GULBARGA</t>
  </si>
  <si>
    <t>Gu1/1/CE/0130/2025</t>
  </si>
  <si>
    <t>N/a</t>
  </si>
  <si>
    <t>11225334002308</t>
  </si>
  <si>
    <t>Validity till 03-11-2027</t>
  </si>
  <si>
    <t>NML/T.B/CE/0004/2025</t>
  </si>
  <si>
    <t>Mal/SON/CE/0001/2025</t>
  </si>
  <si>
    <t>HKT/SUL/CE/0007/2025</t>
  </si>
  <si>
    <t>AWPL ALL LICENSES STATUS AS ON DT.11-11-2025</t>
  </si>
  <si>
    <t>11225334002360</t>
  </si>
  <si>
    <t xml:space="preserve"> Ground Floor, Sy no 55/2,Ejipura Village,Begur 
Hobli,Bangalore South taluka, BBMP ward no 
148, Bangalore, BTM Layout, B.B.M.P South, 
Karnataka-560047</t>
  </si>
  <si>
    <t xml:space="preserve">Validity till 10-11-2027
</t>
  </si>
  <si>
    <t>Validity till
31-03-2028</t>
  </si>
  <si>
    <t>Ejipura</t>
  </si>
  <si>
    <t>ALC-B-4/CLA/P-11236074/2025-26</t>
  </si>
  <si>
    <t>Components</t>
  </si>
  <si>
    <t>Unit</t>
  </si>
  <si>
    <t>Fees</t>
  </si>
  <si>
    <t>Actual Cost </t>
  </si>
  <si>
    <t>Shop &amp; Establishment</t>
  </si>
  <si>
    <t>Total</t>
  </si>
  <si>
    <t>Consultant Charges</t>
  </si>
  <si>
    <t>Metro Cash &amp; Carry India Pvt .Ltd (DC85)</t>
  </si>
  <si>
    <t>Metro Cash &amp; Carry India Pvt .Ltd (DC87)</t>
  </si>
  <si>
    <t>Amara Raja Energy &amp; Mobility Ltd</t>
  </si>
  <si>
    <t>HB3/3/CE/0070/2025</t>
  </si>
  <si>
    <t>19-06-2025 to 31-12-2029</t>
  </si>
  <si>
    <t xml:space="preserve">Meesho Ltd. </t>
  </si>
  <si>
    <t>Rani Rashmoni Ventures Pvt Ltd (Pincode)</t>
  </si>
  <si>
    <t>12425023001866</t>
  </si>
  <si>
    <t>S S Ravendran</t>
  </si>
  <si>
    <t>13-10-2025 to 12-10-2026</t>
  </si>
  <si>
    <t xml:space="preserve"> NO.1/368, KAMARAJ SALAI, MATHUR, Manali, 
Chennai, Tamil Nadu, 600068 (Tiruvottriyur 
Mpty Ward-12)</t>
  </si>
  <si>
    <t>Services</t>
  </si>
  <si>
    <t>Rental Agreement Period</t>
  </si>
  <si>
    <t>Company Agreement Period</t>
  </si>
  <si>
    <t>12-11-2025 to 11-11-2026</t>
  </si>
  <si>
    <t>12-11-2025 to 12-11-2026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</si>
</sst>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sz val="15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wrapText="1"/>
    </xf>
    <xf numFmtId="14" fontId="0" fillId="0" borderId="1" xfId="0" applyNumberFormat="1" applyFont="1" applyBorder="1"/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1" fillId="0" borderId="1" xfId="0" quotePrefix="1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left"/>
    </xf>
    <xf numFmtId="0" fontId="6" fillId="0" borderId="1" xfId="0" applyFont="1" applyBorder="1"/>
    <xf numFmtId="49" fontId="0" fillId="2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horizontal="left"/>
    </xf>
    <xf numFmtId="49" fontId="0" fillId="0" borderId="1" xfId="0" applyNumberFormat="1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top" wrapText="1"/>
    </xf>
    <xf numFmtId="49" fontId="5" fillId="0" borderId="1" xfId="0" applyNumberFormat="1" applyFont="1" applyBorder="1" applyAlignment="1">
      <alignment horizontal="center" vertical="center"/>
    </xf>
    <xf numFmtId="1" fontId="1" fillId="0" borderId="1" xfId="0" quotePrefix="1" applyNumberFormat="1" applyFont="1" applyBorder="1" applyAlignment="1">
      <alignment horizontal="left"/>
    </xf>
    <xf numFmtId="0" fontId="1" fillId="0" borderId="1" xfId="0" quotePrefix="1" applyFont="1" applyBorder="1" applyAlignment="1">
      <alignment horizontal="center"/>
    </xf>
    <xf numFmtId="0" fontId="5" fillId="0" borderId="1" xfId="0" quotePrefix="1" applyFont="1" applyBorder="1" applyAlignment="1">
      <alignment horizontal="left"/>
    </xf>
    <xf numFmtId="49" fontId="0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top" wrapText="1"/>
    </xf>
    <xf numFmtId="1" fontId="0" fillId="0" borderId="1" xfId="0" quotePrefix="1" applyNumberFormat="1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left" vertical="top" wrapText="1"/>
    </xf>
    <xf numFmtId="0" fontId="1" fillId="2" borderId="1" xfId="0" quotePrefix="1" applyFont="1" applyFill="1" applyBorder="1" applyAlignment="1">
      <alignment horizontal="center"/>
    </xf>
    <xf numFmtId="1" fontId="6" fillId="2" borderId="1" xfId="0" quotePrefix="1" applyNumberFormat="1" applyFont="1" applyFill="1" applyBorder="1" applyAlignment="1">
      <alignment wrapText="1"/>
    </xf>
    <xf numFmtId="1" fontId="1" fillId="0" borderId="1" xfId="0" quotePrefix="1" applyNumberFormat="1" applyFont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1" fontId="0" fillId="5" borderId="1" xfId="0" quotePrefix="1" applyNumberFormat="1" applyFont="1" applyFill="1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49" fontId="0" fillId="9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7" fillId="0" borderId="1" xfId="0" quotePrefix="1" applyFont="1" applyBorder="1" applyAlignment="1">
      <alignment horizontal="center"/>
    </xf>
    <xf numFmtId="1" fontId="2" fillId="2" borderId="1" xfId="0" quotePrefix="1" applyNumberFormat="1" applyFont="1" applyFill="1" applyBorder="1" applyAlignment="1">
      <alignment wrapText="1"/>
    </xf>
    <xf numFmtId="0" fontId="7" fillId="2" borderId="1" xfId="0" quotePrefix="1" applyFont="1" applyFill="1" applyBorder="1" applyAlignment="1">
      <alignment horizontal="center"/>
    </xf>
    <xf numFmtId="0" fontId="0" fillId="0" borderId="1" xfId="0" quotePrefix="1" applyBorder="1"/>
    <xf numFmtId="1" fontId="1" fillId="2" borderId="1" xfId="0" quotePrefix="1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1" xfId="0" applyBorder="1"/>
    <xf numFmtId="0" fontId="1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1" fontId="7" fillId="0" borderId="1" xfId="0" quotePrefix="1" applyNumberFormat="1" applyFont="1" applyBorder="1" applyAlignment="1">
      <alignment horizontal="center"/>
    </xf>
    <xf numFmtId="1" fontId="2" fillId="7" borderId="1" xfId="0" quotePrefix="1" applyNumberFormat="1" applyFont="1" applyFill="1" applyBorder="1" applyAlignment="1">
      <alignment wrapText="1"/>
    </xf>
    <xf numFmtId="1" fontId="11" fillId="0" borderId="1" xfId="0" quotePrefix="1" applyNumberFormat="1" applyFont="1" applyBorder="1" applyAlignment="1">
      <alignment horizontal="left"/>
    </xf>
    <xf numFmtId="0" fontId="2" fillId="0" borderId="1" xfId="0" applyFont="1" applyBorder="1"/>
    <xf numFmtId="49" fontId="13" fillId="0" borderId="1" xfId="0" applyNumberFormat="1" applyFont="1" applyBorder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vertical="top" wrapText="1"/>
    </xf>
    <xf numFmtId="0" fontId="11" fillId="0" borderId="1" xfId="0" applyFont="1" applyBorder="1" applyAlignment="1">
      <alignment horizontal="left"/>
    </xf>
    <xf numFmtId="1" fontId="2" fillId="0" borderId="1" xfId="0" quotePrefix="1" applyNumberFormat="1" applyFont="1" applyBorder="1" applyAlignment="1">
      <alignment wrapText="1"/>
    </xf>
    <xf numFmtId="0" fontId="11" fillId="0" borderId="1" xfId="0" quotePrefix="1" applyFont="1" applyBorder="1" applyAlignment="1">
      <alignment horizontal="left"/>
    </xf>
    <xf numFmtId="1" fontId="7" fillId="2" borderId="1" xfId="0" quotePrefix="1" applyNumberFormat="1" applyFont="1" applyFill="1" applyBorder="1" applyAlignment="1">
      <alignment wrapText="1"/>
    </xf>
    <xf numFmtId="49" fontId="13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vertical="top" wrapText="1"/>
    </xf>
    <xf numFmtId="49" fontId="14" fillId="0" borderId="1" xfId="0" applyNumberFormat="1" applyFont="1" applyBorder="1" applyAlignment="1">
      <alignment horizontal="left" vertical="top" wrapText="1"/>
    </xf>
    <xf numFmtId="0" fontId="2" fillId="2" borderId="1" xfId="0" applyFont="1" applyFill="1" applyBorder="1"/>
    <xf numFmtId="0" fontId="11" fillId="0" borderId="1" xfId="0" applyFont="1" applyBorder="1"/>
    <xf numFmtId="14" fontId="2" fillId="0" borderId="1" xfId="0" applyNumberFormat="1" applyFont="1" applyBorder="1"/>
    <xf numFmtId="49" fontId="15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left"/>
    </xf>
    <xf numFmtId="49" fontId="14" fillId="0" borderId="1" xfId="0" applyNumberFormat="1" applyFont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center"/>
    </xf>
    <xf numFmtId="0" fontId="1" fillId="0" borderId="1" xfId="0" applyFont="1" applyBorder="1"/>
    <xf numFmtId="0" fontId="5" fillId="2" borderId="1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0" fontId="0" fillId="2" borderId="1" xfId="0" applyFont="1" applyFill="1" applyBorder="1"/>
    <xf numFmtId="0" fontId="16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1" xfId="0" quotePrefix="1" applyFont="1" applyFill="1" applyBorder="1" applyAlignment="1">
      <alignment horizontal="left"/>
    </xf>
    <xf numFmtId="0" fontId="5" fillId="2" borderId="1" xfId="0" quotePrefix="1" applyFont="1" applyFill="1" applyBorder="1"/>
    <xf numFmtId="1" fontId="5" fillId="2" borderId="1" xfId="0" quotePrefix="1" applyNumberFormat="1" applyFont="1" applyFill="1" applyBorder="1" applyAlignment="1">
      <alignment horizontal="left" wrapText="1"/>
    </xf>
    <xf numFmtId="0" fontId="6" fillId="2" borderId="1" xfId="0" applyFont="1" applyFill="1" applyBorder="1"/>
    <xf numFmtId="0" fontId="16" fillId="0" borderId="1" xfId="0" applyFont="1" applyBorder="1"/>
    <xf numFmtId="49" fontId="16" fillId="2" borderId="1" xfId="0" applyNumberFormat="1" applyFont="1" applyFill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left" vertical="top" wrapText="1"/>
    </xf>
    <xf numFmtId="0" fontId="3" fillId="0" borderId="1" xfId="0" applyFont="1" applyBorder="1"/>
    <xf numFmtId="0" fontId="16" fillId="7" borderId="1" xfId="0" applyFont="1" applyFill="1" applyBorder="1" applyAlignment="1">
      <alignment wrapText="1"/>
    </xf>
    <xf numFmtId="1" fontId="6" fillId="11" borderId="1" xfId="0" quotePrefix="1" applyNumberFormat="1" applyFont="1" applyFill="1" applyBorder="1" applyAlignment="1">
      <alignment wrapText="1"/>
    </xf>
    <xf numFmtId="14" fontId="1" fillId="2" borderId="1" xfId="0" applyNumberFormat="1" applyFont="1" applyFill="1" applyBorder="1"/>
    <xf numFmtId="0" fontId="2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6" fillId="7" borderId="0" xfId="0" applyFont="1" applyFill="1"/>
    <xf numFmtId="0" fontId="16" fillId="7" borderId="1" xfId="0" applyFont="1" applyFill="1" applyBorder="1" applyAlignment="1">
      <alignment horizontal="center"/>
    </xf>
    <xf numFmtId="49" fontId="0" fillId="0" borderId="1" xfId="0" applyNumberFormat="1" applyFont="1" applyBorder="1" applyAlignment="1">
      <alignment vertical="top" wrapText="1"/>
    </xf>
    <xf numFmtId="0" fontId="7" fillId="2" borderId="1" xfId="0" applyFont="1" applyFill="1" applyBorder="1" applyAlignment="1">
      <alignment wrapText="1"/>
    </xf>
    <xf numFmtId="1" fontId="1" fillId="2" borderId="1" xfId="0" quotePrefix="1" applyNumberFormat="1" applyFont="1" applyFill="1" applyBorder="1" applyAlignment="1">
      <alignment wrapText="1"/>
    </xf>
    <xf numFmtId="0" fontId="12" fillId="0" borderId="1" xfId="0" applyFont="1" applyBorder="1" applyAlignment="1">
      <alignment horizontal="left"/>
    </xf>
    <xf numFmtId="0" fontId="1" fillId="2" borderId="1" xfId="0" applyFont="1" applyFill="1" applyBorder="1"/>
    <xf numFmtId="1" fontId="17" fillId="2" borderId="1" xfId="0" quotePrefix="1" applyNumberFormat="1" applyFont="1" applyFill="1" applyBorder="1" applyAlignment="1">
      <alignment wrapText="1"/>
    </xf>
    <xf numFmtId="0" fontId="1" fillId="2" borderId="1" xfId="0" applyFont="1" applyFill="1" applyBorder="1" applyAlignment="1">
      <alignment horizontal="left"/>
    </xf>
    <xf numFmtId="0" fontId="1" fillId="0" borderId="1" xfId="0" quotePrefix="1" applyFont="1" applyBorder="1"/>
    <xf numFmtId="14" fontId="1" fillId="0" borderId="0" xfId="0" applyNumberFormat="1" applyFont="1"/>
    <xf numFmtId="1" fontId="2" fillId="0" borderId="1" xfId="0" quotePrefix="1" applyNumberFormat="1" applyFont="1" applyBorder="1" applyAlignment="1">
      <alignment horizontal="center"/>
    </xf>
    <xf numFmtId="0" fontId="0" fillId="0" borderId="0" xfId="0" applyBorder="1"/>
    <xf numFmtId="14" fontId="16" fillId="0" borderId="1" xfId="0" applyNumberFormat="1" applyFont="1" applyBorder="1"/>
    <xf numFmtId="0" fontId="0" fillId="0" borderId="1" xfId="0" quotePrefix="1" applyFont="1" applyBorder="1"/>
    <xf numFmtId="1" fontId="0" fillId="7" borderId="1" xfId="0" quotePrefix="1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49" fontId="13" fillId="7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14" fontId="1" fillId="2" borderId="0" xfId="0" applyNumberFormat="1" applyFont="1" applyFill="1" applyBorder="1"/>
    <xf numFmtId="0" fontId="1" fillId="8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wrapText="1"/>
    </xf>
    <xf numFmtId="1" fontId="12" fillId="2" borderId="1" xfId="0" quotePrefix="1" applyNumberFormat="1" applyFont="1" applyFill="1" applyBorder="1" applyAlignment="1">
      <alignment wrapText="1"/>
    </xf>
    <xf numFmtId="1" fontId="0" fillId="0" borderId="1" xfId="0" quotePrefix="1" applyNumberFormat="1" applyFont="1" applyBorder="1" applyAlignment="1">
      <alignment wrapText="1"/>
    </xf>
    <xf numFmtId="1" fontId="0" fillId="2" borderId="1" xfId="0" quotePrefix="1" applyNumberFormat="1" applyFont="1" applyFill="1" applyBorder="1" applyAlignment="1">
      <alignment wrapText="1"/>
    </xf>
    <xf numFmtId="14" fontId="12" fillId="2" borderId="1" xfId="0" applyNumberFormat="1" applyFont="1" applyFill="1" applyBorder="1" applyAlignment="1">
      <alignment wrapText="1"/>
    </xf>
    <xf numFmtId="0" fontId="0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center" vertical="center" wrapText="1"/>
    </xf>
    <xf numFmtId="1" fontId="0" fillId="2" borderId="1" xfId="0" quotePrefix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0" borderId="1" xfId="0" quotePrefix="1" applyFont="1" applyBorder="1"/>
    <xf numFmtId="49" fontId="16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wrapText="1"/>
    </xf>
    <xf numFmtId="0" fontId="7" fillId="2" borderId="1" xfId="0" quotePrefix="1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wrapText="1"/>
    </xf>
    <xf numFmtId="0" fontId="18" fillId="15" borderId="3" xfId="0" applyFont="1" applyFill="1" applyBorder="1" applyAlignment="1">
      <alignment horizontal="center" wrapText="1"/>
    </xf>
    <xf numFmtId="0" fontId="19" fillId="15" borderId="4" xfId="0" applyFont="1" applyFill="1" applyBorder="1" applyAlignment="1">
      <alignment horizontal="right" wrapText="1"/>
    </xf>
    <xf numFmtId="0" fontId="19" fillId="15" borderId="5" xfId="0" applyFont="1" applyFill="1" applyBorder="1" applyAlignment="1">
      <alignment wrapText="1"/>
    </xf>
    <xf numFmtId="0" fontId="19" fillId="15" borderId="5" xfId="0" applyFont="1" applyFill="1" applyBorder="1" applyAlignment="1">
      <alignment horizontal="right" wrapText="1"/>
    </xf>
    <xf numFmtId="0" fontId="19" fillId="15" borderId="4" xfId="0" applyFont="1" applyFill="1" applyBorder="1" applyAlignment="1">
      <alignment wrapText="1"/>
    </xf>
    <xf numFmtId="0" fontId="18" fillId="15" borderId="5" xfId="0" applyFont="1" applyFill="1" applyBorder="1" applyAlignment="1">
      <alignment wrapText="1"/>
    </xf>
    <xf numFmtId="49" fontId="5" fillId="7" borderId="1" xfId="0" applyNumberFormat="1" applyFont="1" applyFill="1" applyBorder="1" applyAlignment="1">
      <alignment horizontal="center" vertical="center"/>
    </xf>
    <xf numFmtId="49" fontId="0" fillId="7" borderId="1" xfId="0" applyNumberFormat="1" applyFont="1" applyFill="1" applyBorder="1" applyAlignment="1">
      <alignment horizontal="left" vertical="center"/>
    </xf>
    <xf numFmtId="49" fontId="13" fillId="7" borderId="1" xfId="0" applyNumberFormat="1" applyFont="1" applyFill="1" applyBorder="1" applyAlignment="1">
      <alignment horizontal="left" vertical="center"/>
    </xf>
    <xf numFmtId="0" fontId="16" fillId="2" borderId="1" xfId="0" applyFont="1" applyFill="1" applyBorder="1"/>
    <xf numFmtId="49" fontId="5" fillId="7" borderId="1" xfId="0" applyNumberFormat="1" applyFont="1" applyFill="1" applyBorder="1" applyAlignment="1">
      <alignment horizontal="left" vertical="center"/>
    </xf>
    <xf numFmtId="0" fontId="0" fillId="7" borderId="1" xfId="0" applyFont="1" applyFill="1" applyBorder="1" applyAlignment="1">
      <alignment horizontal="center" vertical="center"/>
    </xf>
    <xf numFmtId="1" fontId="0" fillId="0" borderId="1" xfId="0" quotePrefix="1" applyNumberFormat="1" applyFont="1" applyBorder="1" applyAlignment="1">
      <alignment horizontal="center"/>
    </xf>
    <xf numFmtId="0" fontId="4" fillId="7" borderId="0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70"/>
  <sheetViews>
    <sheetView tabSelected="1" workbookViewId="0">
      <pane xSplit="5" ySplit="2" topLeftCell="M3" activePane="bottomRight" state="frozen"/>
      <selection pane="topRight" activeCell="F1" sqref="F1"/>
      <selection pane="bottomLeft" activeCell="A3" sqref="A3"/>
      <selection pane="bottomRight" activeCell="E9" sqref="E9"/>
    </sheetView>
  </sheetViews>
  <sheetFormatPr defaultRowHeight="15" x14ac:dyDescent="0.25"/>
  <cols>
    <col min="1" max="1" width="6.85546875" customWidth="1"/>
    <col min="2" max="2" width="40" bestFit="1" customWidth="1"/>
    <col min="3" max="3" width="14.140625" bestFit="1" customWidth="1"/>
    <col min="4" max="4" width="17.28515625" style="9" bestFit="1" customWidth="1"/>
    <col min="5" max="5" width="18.28515625" style="9" bestFit="1" customWidth="1"/>
    <col min="6" max="6" width="65.5703125" bestFit="1" customWidth="1"/>
    <col min="7" max="7" width="31.85546875" bestFit="1" customWidth="1"/>
    <col min="8" max="8" width="29" bestFit="1" customWidth="1"/>
    <col min="9" max="9" width="13.42578125" bestFit="1" customWidth="1"/>
    <col min="10" max="10" width="18" customWidth="1"/>
    <col min="11" max="11" width="23.28515625" bestFit="1" customWidth="1"/>
    <col min="12" max="12" width="30.28515625" bestFit="1" customWidth="1"/>
    <col min="13" max="13" width="27.42578125" customWidth="1"/>
    <col min="14" max="15" width="25.28515625" customWidth="1"/>
    <col min="16" max="16" width="27.28515625" bestFit="1" customWidth="1"/>
    <col min="17" max="17" width="12.42578125" bestFit="1" customWidth="1"/>
    <col min="18" max="18" width="23.7109375" bestFit="1" customWidth="1"/>
    <col min="19" max="21" width="12.42578125" customWidth="1"/>
    <col min="22" max="22" width="21.42578125" bestFit="1" customWidth="1"/>
    <col min="23" max="23" width="12.42578125" customWidth="1"/>
    <col min="24" max="24" width="13.140625" bestFit="1" customWidth="1"/>
  </cols>
  <sheetData>
    <row r="1" spans="1:24" ht="24" customHeight="1" x14ac:dyDescent="0.3">
      <c r="A1" s="157" t="s">
        <v>314</v>
      </c>
      <c r="B1" s="157"/>
      <c r="C1" s="157"/>
      <c r="D1" s="157"/>
      <c r="E1" s="157"/>
      <c r="F1" s="157"/>
      <c r="G1" s="156"/>
      <c r="H1" s="156"/>
    </row>
    <row r="2" spans="1:24" s="2" customFormat="1" ht="30" x14ac:dyDescent="0.25">
      <c r="A2" s="6" t="s">
        <v>44</v>
      </c>
      <c r="B2" s="1" t="s">
        <v>0</v>
      </c>
      <c r="C2" s="1" t="s">
        <v>339</v>
      </c>
      <c r="D2" s="8" t="s">
        <v>41</v>
      </c>
      <c r="E2" s="8" t="s">
        <v>48</v>
      </c>
      <c r="F2" s="1" t="s">
        <v>14</v>
      </c>
      <c r="G2" s="1" t="s">
        <v>341</v>
      </c>
      <c r="H2" s="1" t="s">
        <v>340</v>
      </c>
      <c r="I2" s="40" t="s">
        <v>24</v>
      </c>
      <c r="J2" s="4" t="s">
        <v>22</v>
      </c>
      <c r="K2" s="4" t="s">
        <v>21</v>
      </c>
      <c r="L2" s="41" t="s">
        <v>23</v>
      </c>
      <c r="M2" s="3" t="s">
        <v>21</v>
      </c>
      <c r="N2" s="120" t="s">
        <v>243</v>
      </c>
      <c r="O2" s="120" t="s">
        <v>21</v>
      </c>
      <c r="P2" s="5" t="s">
        <v>25</v>
      </c>
      <c r="Q2" s="5" t="s">
        <v>58</v>
      </c>
      <c r="R2" s="5" t="s">
        <v>278</v>
      </c>
      <c r="S2" s="5" t="s">
        <v>21</v>
      </c>
      <c r="T2" s="5" t="s">
        <v>279</v>
      </c>
      <c r="U2" s="5" t="s">
        <v>21</v>
      </c>
      <c r="V2" s="121" t="s">
        <v>258</v>
      </c>
      <c r="W2" s="121" t="s">
        <v>21</v>
      </c>
      <c r="X2" s="7" t="s">
        <v>60</v>
      </c>
    </row>
    <row r="3" spans="1:24" s="2" customFormat="1" x14ac:dyDescent="0.25">
      <c r="A3" s="6"/>
      <c r="B3" s="1"/>
      <c r="C3" s="1"/>
      <c r="D3" s="8"/>
      <c r="E3" s="47" t="s">
        <v>103</v>
      </c>
      <c r="F3" s="137"/>
      <c r="G3" s="137"/>
      <c r="H3" s="13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30" x14ac:dyDescent="0.25">
      <c r="A4" s="10">
        <v>1</v>
      </c>
      <c r="B4" s="78" t="s">
        <v>1</v>
      </c>
      <c r="C4" s="23" t="s">
        <v>43</v>
      </c>
      <c r="D4" s="15" t="s">
        <v>7</v>
      </c>
      <c r="E4" s="129" t="s">
        <v>49</v>
      </c>
      <c r="F4" s="138" t="s">
        <v>15</v>
      </c>
      <c r="G4" s="23" t="s">
        <v>43</v>
      </c>
      <c r="H4" s="138"/>
      <c r="I4" s="16" t="s">
        <v>62</v>
      </c>
      <c r="J4" s="44" t="s">
        <v>220</v>
      </c>
      <c r="K4" s="122" t="s">
        <v>293</v>
      </c>
      <c r="L4" s="18" t="s">
        <v>28</v>
      </c>
      <c r="M4" s="105" t="s">
        <v>56</v>
      </c>
      <c r="N4" s="105"/>
      <c r="O4" s="105"/>
      <c r="P4" s="17" t="s">
        <v>43</v>
      </c>
      <c r="Q4" s="17" t="s">
        <v>43</v>
      </c>
      <c r="R4" s="17"/>
      <c r="S4" s="17"/>
      <c r="T4" s="17"/>
      <c r="U4" s="17"/>
      <c r="V4" s="17" t="s">
        <v>43</v>
      </c>
      <c r="W4" s="17" t="s">
        <v>43</v>
      </c>
      <c r="X4" s="10"/>
    </row>
    <row r="5" spans="1:24" ht="30" x14ac:dyDescent="0.25">
      <c r="A5" s="10">
        <f t="shared" ref="A5:A41" si="0">+A4+1</f>
        <v>2</v>
      </c>
      <c r="B5" s="150" t="s">
        <v>330</v>
      </c>
      <c r="C5" s="36" t="s">
        <v>89</v>
      </c>
      <c r="D5" s="23" t="s">
        <v>42</v>
      </c>
      <c r="E5" s="129" t="s">
        <v>49</v>
      </c>
      <c r="F5" s="24" t="s">
        <v>39</v>
      </c>
      <c r="G5" s="24"/>
      <c r="H5" s="24"/>
      <c r="I5" s="16" t="s">
        <v>62</v>
      </c>
      <c r="J5" s="46" t="s">
        <v>43</v>
      </c>
      <c r="K5" s="17" t="s">
        <v>43</v>
      </c>
      <c r="L5" s="82" t="s">
        <v>29</v>
      </c>
      <c r="M5" s="103" t="s">
        <v>190</v>
      </c>
      <c r="N5" s="103"/>
      <c r="O5" s="103"/>
      <c r="P5" s="17" t="s">
        <v>43</v>
      </c>
      <c r="Q5" s="17" t="s">
        <v>43</v>
      </c>
      <c r="R5" s="17"/>
      <c r="S5" s="17"/>
      <c r="T5" s="17"/>
      <c r="U5" s="17"/>
      <c r="V5" s="17" t="s">
        <v>43</v>
      </c>
      <c r="W5" s="17" t="s">
        <v>43</v>
      </c>
      <c r="X5" s="10"/>
    </row>
    <row r="6" spans="1:24" ht="30" x14ac:dyDescent="0.25">
      <c r="A6" s="10">
        <f t="shared" si="0"/>
        <v>3</v>
      </c>
      <c r="B6" s="150" t="s">
        <v>330</v>
      </c>
      <c r="C6" s="36" t="s">
        <v>89</v>
      </c>
      <c r="D6" s="136" t="s">
        <v>43</v>
      </c>
      <c r="E6" s="130" t="s">
        <v>50</v>
      </c>
      <c r="F6" s="24" t="s">
        <v>162</v>
      </c>
      <c r="G6" s="24"/>
      <c r="H6" s="24"/>
      <c r="I6" s="26" t="s">
        <v>43</v>
      </c>
      <c r="J6" s="46" t="s">
        <v>43</v>
      </c>
      <c r="K6" s="17" t="s">
        <v>43</v>
      </c>
      <c r="L6" s="82" t="s">
        <v>331</v>
      </c>
      <c r="M6" s="105" t="s">
        <v>332</v>
      </c>
      <c r="N6" s="103"/>
      <c r="O6" s="103"/>
      <c r="P6" s="17" t="s">
        <v>43</v>
      </c>
      <c r="Q6" s="17" t="s">
        <v>43</v>
      </c>
      <c r="R6" s="17"/>
      <c r="S6" s="17"/>
      <c r="T6" s="17"/>
      <c r="U6" s="17"/>
      <c r="V6" s="17" t="s">
        <v>43</v>
      </c>
      <c r="W6" s="17" t="s">
        <v>43</v>
      </c>
      <c r="X6" s="10"/>
    </row>
    <row r="7" spans="1:24" ht="30" x14ac:dyDescent="0.25">
      <c r="A7" s="10">
        <f t="shared" si="0"/>
        <v>4</v>
      </c>
      <c r="B7" s="150" t="s">
        <v>37</v>
      </c>
      <c r="C7" s="36" t="s">
        <v>89</v>
      </c>
      <c r="D7" s="23" t="s">
        <v>42</v>
      </c>
      <c r="E7" s="130" t="s">
        <v>49</v>
      </c>
      <c r="F7" s="24" t="s">
        <v>40</v>
      </c>
      <c r="G7" s="24"/>
      <c r="H7" s="24"/>
      <c r="I7" s="16" t="s">
        <v>62</v>
      </c>
      <c r="J7" s="46" t="s">
        <v>43</v>
      </c>
      <c r="K7" s="17" t="s">
        <v>43</v>
      </c>
      <c r="L7" s="82" t="s">
        <v>30</v>
      </c>
      <c r="M7" s="103" t="s">
        <v>190</v>
      </c>
      <c r="N7" s="103"/>
      <c r="O7" s="103"/>
      <c r="P7" s="17" t="s">
        <v>43</v>
      </c>
      <c r="Q7" s="17" t="s">
        <v>43</v>
      </c>
      <c r="R7" s="17"/>
      <c r="S7" s="17"/>
      <c r="T7" s="17"/>
      <c r="U7" s="17"/>
      <c r="V7" s="17" t="s">
        <v>43</v>
      </c>
      <c r="W7" s="17" t="s">
        <v>43</v>
      </c>
      <c r="X7" s="10"/>
    </row>
    <row r="8" spans="1:24" ht="30" x14ac:dyDescent="0.25">
      <c r="A8" s="10">
        <f t="shared" si="0"/>
        <v>5</v>
      </c>
      <c r="B8" s="150" t="s">
        <v>38</v>
      </c>
      <c r="C8" s="36" t="s">
        <v>89</v>
      </c>
      <c r="D8" s="23" t="s">
        <v>42</v>
      </c>
      <c r="E8" s="130" t="s">
        <v>49</v>
      </c>
      <c r="F8" s="24" t="s">
        <v>40</v>
      </c>
      <c r="G8" s="24"/>
      <c r="H8" s="24"/>
      <c r="I8" s="16" t="s">
        <v>62</v>
      </c>
      <c r="J8" s="46" t="s">
        <v>43</v>
      </c>
      <c r="K8" s="17" t="s">
        <v>43</v>
      </c>
      <c r="L8" s="82" t="s">
        <v>30</v>
      </c>
      <c r="M8" s="106" t="s">
        <v>190</v>
      </c>
      <c r="N8" s="106"/>
      <c r="O8" s="106"/>
      <c r="P8" s="17" t="s">
        <v>43</v>
      </c>
      <c r="Q8" s="17" t="s">
        <v>43</v>
      </c>
      <c r="R8" s="17"/>
      <c r="S8" s="17"/>
      <c r="T8" s="17"/>
      <c r="U8" s="17"/>
      <c r="V8" s="17" t="s">
        <v>43</v>
      </c>
      <c r="W8" s="17" t="s">
        <v>43</v>
      </c>
      <c r="X8" s="10"/>
    </row>
    <row r="9" spans="1:24" ht="30" x14ac:dyDescent="0.25">
      <c r="A9" s="10">
        <f t="shared" si="0"/>
        <v>6</v>
      </c>
      <c r="B9" s="153" t="s">
        <v>2</v>
      </c>
      <c r="C9" s="36" t="s">
        <v>89</v>
      </c>
      <c r="D9" s="25" t="s">
        <v>8</v>
      </c>
      <c r="E9" s="128" t="s">
        <v>49</v>
      </c>
      <c r="F9" s="24" t="s">
        <v>16</v>
      </c>
      <c r="G9" s="24"/>
      <c r="H9" s="24"/>
      <c r="I9" s="26" t="s">
        <v>43</v>
      </c>
      <c r="J9" s="44" t="s">
        <v>94</v>
      </c>
      <c r="K9" s="123" t="s">
        <v>260</v>
      </c>
      <c r="L9" s="83" t="s">
        <v>31</v>
      </c>
      <c r="M9" s="103" t="s">
        <v>169</v>
      </c>
      <c r="N9" s="103"/>
      <c r="O9" s="103"/>
      <c r="P9" s="17" t="s">
        <v>43</v>
      </c>
      <c r="Q9" s="17" t="s">
        <v>43</v>
      </c>
      <c r="R9" s="17"/>
      <c r="S9" s="17"/>
      <c r="T9" s="17"/>
      <c r="U9" s="17"/>
      <c r="V9" s="17"/>
      <c r="W9" s="17"/>
      <c r="X9" s="10"/>
    </row>
    <row r="10" spans="1:24" ht="30" x14ac:dyDescent="0.25">
      <c r="A10" s="10">
        <f t="shared" si="0"/>
        <v>7</v>
      </c>
      <c r="B10" s="20" t="s">
        <v>2</v>
      </c>
      <c r="C10" s="36" t="s">
        <v>89</v>
      </c>
      <c r="D10" s="29" t="s">
        <v>9</v>
      </c>
      <c r="E10" s="36" t="s">
        <v>51</v>
      </c>
      <c r="F10" s="24" t="s">
        <v>86</v>
      </c>
      <c r="G10" s="24"/>
      <c r="H10" s="24"/>
      <c r="I10" s="16" t="s">
        <v>62</v>
      </c>
      <c r="J10" s="44" t="s">
        <v>26</v>
      </c>
      <c r="K10" s="123" t="s">
        <v>261</v>
      </c>
      <c r="L10" s="82" t="s">
        <v>32</v>
      </c>
      <c r="M10" s="107" t="s">
        <v>57</v>
      </c>
      <c r="N10" s="107"/>
      <c r="O10" s="107"/>
      <c r="P10" s="17" t="s">
        <v>43</v>
      </c>
      <c r="Q10" s="17" t="s">
        <v>43</v>
      </c>
      <c r="R10" s="17"/>
      <c r="S10" s="17"/>
      <c r="T10" s="17"/>
      <c r="U10" s="17"/>
      <c r="V10" s="17"/>
      <c r="W10" s="17"/>
      <c r="X10" s="10"/>
    </row>
    <row r="11" spans="1:24" ht="30" x14ac:dyDescent="0.25">
      <c r="A11" s="10">
        <f t="shared" si="0"/>
        <v>8</v>
      </c>
      <c r="B11" s="20" t="s">
        <v>2</v>
      </c>
      <c r="C11" s="36" t="s">
        <v>89</v>
      </c>
      <c r="D11" s="23" t="s">
        <v>10</v>
      </c>
      <c r="E11" s="130" t="s">
        <v>52</v>
      </c>
      <c r="F11" s="24" t="s">
        <v>17</v>
      </c>
      <c r="G11" s="24"/>
      <c r="H11" s="24"/>
      <c r="I11" s="16" t="s">
        <v>62</v>
      </c>
      <c r="J11" s="42" t="s">
        <v>27</v>
      </c>
      <c r="K11" s="123" t="s">
        <v>262</v>
      </c>
      <c r="L11" s="84" t="s">
        <v>33</v>
      </c>
      <c r="M11" s="103" t="s">
        <v>170</v>
      </c>
      <c r="N11" s="103"/>
      <c r="O11" s="103"/>
      <c r="P11" s="17" t="s">
        <v>43</v>
      </c>
      <c r="Q11" s="17" t="s">
        <v>43</v>
      </c>
      <c r="R11" s="17"/>
      <c r="S11" s="17"/>
      <c r="T11" s="17"/>
      <c r="U11" s="17"/>
      <c r="V11" s="17"/>
      <c r="W11" s="17"/>
      <c r="X11" s="10"/>
    </row>
    <row r="12" spans="1:24" ht="30" x14ac:dyDescent="0.25">
      <c r="A12" s="10">
        <f t="shared" si="0"/>
        <v>9</v>
      </c>
      <c r="B12" s="20" t="s">
        <v>2</v>
      </c>
      <c r="C12" s="36" t="s">
        <v>89</v>
      </c>
      <c r="D12" s="23" t="s">
        <v>159</v>
      </c>
      <c r="E12" s="130" t="s">
        <v>52</v>
      </c>
      <c r="F12" s="24" t="s">
        <v>173</v>
      </c>
      <c r="G12" s="24"/>
      <c r="H12" s="24"/>
      <c r="I12" s="16" t="s">
        <v>62</v>
      </c>
      <c r="J12" s="42" t="s">
        <v>172</v>
      </c>
      <c r="K12" s="123" t="s">
        <v>263</v>
      </c>
      <c r="L12" s="84"/>
      <c r="M12" s="93" t="s">
        <v>201</v>
      </c>
      <c r="N12" s="93"/>
      <c r="O12" s="93"/>
      <c r="P12" s="17" t="s">
        <v>43</v>
      </c>
      <c r="Q12" s="17" t="s">
        <v>43</v>
      </c>
      <c r="R12" s="17"/>
      <c r="S12" s="17"/>
      <c r="T12" s="17"/>
      <c r="U12" s="17"/>
      <c r="V12" s="17"/>
      <c r="W12" s="17"/>
      <c r="X12" s="10"/>
    </row>
    <row r="13" spans="1:24" ht="45" x14ac:dyDescent="0.25">
      <c r="A13" s="10">
        <f t="shared" si="0"/>
        <v>10</v>
      </c>
      <c r="B13" s="20" t="s">
        <v>2</v>
      </c>
      <c r="C13" s="36" t="s">
        <v>89</v>
      </c>
      <c r="D13" s="23" t="s">
        <v>188</v>
      </c>
      <c r="E13" s="130" t="s">
        <v>52</v>
      </c>
      <c r="F13" s="24" t="s">
        <v>160</v>
      </c>
      <c r="G13" s="24"/>
      <c r="H13" s="24"/>
      <c r="I13" s="16" t="s">
        <v>62</v>
      </c>
      <c r="J13" s="42" t="s">
        <v>187</v>
      </c>
      <c r="K13" s="123" t="s">
        <v>264</v>
      </c>
      <c r="L13" s="84"/>
      <c r="M13" s="34" t="s">
        <v>193</v>
      </c>
      <c r="N13" s="34"/>
      <c r="O13" s="34"/>
      <c r="P13" s="17" t="s">
        <v>43</v>
      </c>
      <c r="Q13" s="17" t="s">
        <v>43</v>
      </c>
      <c r="R13" s="17"/>
      <c r="S13" s="17"/>
      <c r="T13" s="17"/>
      <c r="U13" s="17"/>
      <c r="V13" s="17"/>
      <c r="W13" s="17"/>
      <c r="X13" s="10"/>
    </row>
    <row r="14" spans="1:24" ht="30" x14ac:dyDescent="0.25">
      <c r="A14" s="10">
        <f t="shared" si="0"/>
        <v>11</v>
      </c>
      <c r="B14" s="150" t="s">
        <v>3</v>
      </c>
      <c r="C14" s="36" t="s">
        <v>89</v>
      </c>
      <c r="D14" s="29" t="s">
        <v>11</v>
      </c>
      <c r="E14" s="36" t="s">
        <v>49</v>
      </c>
      <c r="F14" s="24" t="s">
        <v>18</v>
      </c>
      <c r="G14" s="24"/>
      <c r="H14" s="24"/>
      <c r="I14" s="16" t="s">
        <v>62</v>
      </c>
      <c r="J14" s="76" t="s">
        <v>99</v>
      </c>
      <c r="K14" s="124" t="s">
        <v>265</v>
      </c>
      <c r="L14" s="85" t="s">
        <v>34</v>
      </c>
      <c r="M14" s="105" t="s">
        <v>56</v>
      </c>
      <c r="N14" s="105"/>
      <c r="O14" s="105"/>
      <c r="P14" s="17" t="s">
        <v>43</v>
      </c>
      <c r="Q14" s="17" t="s">
        <v>43</v>
      </c>
      <c r="R14" s="17"/>
      <c r="S14" s="17"/>
      <c r="T14" s="17"/>
      <c r="U14" s="17"/>
      <c r="V14" s="17"/>
      <c r="W14" s="17"/>
      <c r="X14" s="10"/>
    </row>
    <row r="15" spans="1:24" ht="30" x14ac:dyDescent="0.25">
      <c r="A15" s="10">
        <f t="shared" si="0"/>
        <v>12</v>
      </c>
      <c r="B15" s="150" t="s">
        <v>6</v>
      </c>
      <c r="C15" s="36" t="s">
        <v>89</v>
      </c>
      <c r="D15" s="29" t="s">
        <v>13</v>
      </c>
      <c r="E15" s="36" t="s">
        <v>49</v>
      </c>
      <c r="F15" s="24" t="s">
        <v>20</v>
      </c>
      <c r="G15" s="24"/>
      <c r="H15" s="24"/>
      <c r="I15" s="16" t="s">
        <v>62</v>
      </c>
      <c r="J15" s="42" t="s">
        <v>95</v>
      </c>
      <c r="K15" s="122" t="s">
        <v>266</v>
      </c>
      <c r="L15" s="85" t="s">
        <v>35</v>
      </c>
      <c r="M15" s="105" t="s">
        <v>155</v>
      </c>
      <c r="N15" s="105"/>
      <c r="O15" s="105"/>
      <c r="P15" s="17" t="s">
        <v>43</v>
      </c>
      <c r="Q15" s="17" t="s">
        <v>43</v>
      </c>
      <c r="R15" s="17"/>
      <c r="S15" s="17"/>
      <c r="T15" s="17"/>
      <c r="U15" s="17"/>
      <c r="V15" s="17"/>
      <c r="W15" s="17"/>
      <c r="X15" s="10"/>
    </row>
    <row r="16" spans="1:24" ht="30" x14ac:dyDescent="0.25">
      <c r="A16" s="10">
        <f t="shared" si="0"/>
        <v>13</v>
      </c>
      <c r="B16" s="150" t="s">
        <v>45</v>
      </c>
      <c r="C16" s="36" t="s">
        <v>89</v>
      </c>
      <c r="D16" s="29" t="s">
        <v>13</v>
      </c>
      <c r="E16" s="36" t="s">
        <v>49</v>
      </c>
      <c r="F16" s="24" t="s">
        <v>20</v>
      </c>
      <c r="G16" s="24"/>
      <c r="H16" s="24"/>
      <c r="I16" s="16" t="s">
        <v>62</v>
      </c>
      <c r="J16" s="17" t="s">
        <v>43</v>
      </c>
      <c r="K16" s="17" t="s">
        <v>43</v>
      </c>
      <c r="L16" s="85" t="s">
        <v>35</v>
      </c>
      <c r="M16" s="106" t="s">
        <v>155</v>
      </c>
      <c r="N16" s="106"/>
      <c r="O16" s="106"/>
      <c r="P16" s="17" t="s">
        <v>43</v>
      </c>
      <c r="Q16" s="17" t="s">
        <v>43</v>
      </c>
      <c r="R16" s="17"/>
      <c r="S16" s="17"/>
      <c r="T16" s="17"/>
      <c r="U16" s="17"/>
      <c r="V16" s="17"/>
      <c r="W16" s="17"/>
      <c r="X16" s="10"/>
    </row>
    <row r="17" spans="1:24" ht="30" x14ac:dyDescent="0.25">
      <c r="A17" s="10">
        <f t="shared" si="0"/>
        <v>14</v>
      </c>
      <c r="B17" s="152" t="s">
        <v>135</v>
      </c>
      <c r="C17" s="36" t="s">
        <v>89</v>
      </c>
      <c r="D17" s="14" t="s">
        <v>13</v>
      </c>
      <c r="E17" s="36" t="s">
        <v>49</v>
      </c>
      <c r="F17" s="24" t="s">
        <v>20</v>
      </c>
      <c r="G17" s="24"/>
      <c r="H17" s="24"/>
      <c r="I17" s="16" t="s">
        <v>62</v>
      </c>
      <c r="J17" s="35" t="s">
        <v>43</v>
      </c>
      <c r="K17" s="35" t="s">
        <v>43</v>
      </c>
      <c r="L17" s="85" t="s">
        <v>35</v>
      </c>
      <c r="M17" s="106" t="s">
        <v>155</v>
      </c>
      <c r="N17" s="106"/>
      <c r="O17" s="106"/>
      <c r="P17" s="17" t="s">
        <v>43</v>
      </c>
      <c r="Q17" s="17" t="s">
        <v>43</v>
      </c>
      <c r="R17" s="17"/>
      <c r="S17" s="17"/>
      <c r="T17" s="17"/>
      <c r="U17" s="17"/>
      <c r="V17" s="17"/>
      <c r="W17" s="17"/>
      <c r="X17" s="10"/>
    </row>
    <row r="18" spans="1:24" ht="30" x14ac:dyDescent="0.25">
      <c r="A18" s="10">
        <f t="shared" si="0"/>
        <v>15</v>
      </c>
      <c r="B18" s="150" t="s">
        <v>328</v>
      </c>
      <c r="C18" s="36" t="s">
        <v>89</v>
      </c>
      <c r="D18" s="35" t="s">
        <v>43</v>
      </c>
      <c r="E18" s="131" t="s">
        <v>65</v>
      </c>
      <c r="F18" s="24" t="s">
        <v>80</v>
      </c>
      <c r="G18" s="24"/>
      <c r="H18" s="24"/>
      <c r="I18" s="16" t="s">
        <v>62</v>
      </c>
      <c r="J18" s="33" t="s">
        <v>181</v>
      </c>
      <c r="K18" s="125" t="s">
        <v>267</v>
      </c>
      <c r="L18" s="83" t="s">
        <v>138</v>
      </c>
      <c r="M18" s="103" t="s">
        <v>139</v>
      </c>
      <c r="N18" s="103"/>
      <c r="O18" s="103"/>
      <c r="P18" s="113" t="s">
        <v>211</v>
      </c>
      <c r="Q18" s="12">
        <v>45751</v>
      </c>
      <c r="R18" s="12"/>
      <c r="S18" s="12"/>
      <c r="T18" s="12"/>
      <c r="U18" s="12"/>
      <c r="V18" s="17"/>
      <c r="W18" s="17"/>
      <c r="X18" s="10"/>
    </row>
    <row r="19" spans="1:24" ht="30" x14ac:dyDescent="0.25">
      <c r="A19" s="10">
        <f t="shared" si="0"/>
        <v>16</v>
      </c>
      <c r="B19" s="150" t="s">
        <v>329</v>
      </c>
      <c r="C19" s="36" t="s">
        <v>89</v>
      </c>
      <c r="D19" s="35" t="s">
        <v>43</v>
      </c>
      <c r="E19" s="131" t="s">
        <v>65</v>
      </c>
      <c r="F19" s="24" t="s">
        <v>80</v>
      </c>
      <c r="G19" s="24"/>
      <c r="H19" s="24"/>
      <c r="I19" s="16" t="s">
        <v>62</v>
      </c>
      <c r="J19" s="33" t="s">
        <v>181</v>
      </c>
      <c r="K19" s="125" t="s">
        <v>267</v>
      </c>
      <c r="L19" s="83" t="s">
        <v>138</v>
      </c>
      <c r="M19" s="103" t="s">
        <v>139</v>
      </c>
      <c r="N19" s="103"/>
      <c r="O19" s="103"/>
      <c r="P19" s="113" t="s">
        <v>211</v>
      </c>
      <c r="Q19" s="12">
        <v>45751</v>
      </c>
      <c r="R19" s="12"/>
      <c r="S19" s="12"/>
      <c r="T19" s="12"/>
      <c r="U19" s="12"/>
      <c r="V19" s="17"/>
      <c r="W19" s="17"/>
      <c r="X19" s="10"/>
    </row>
    <row r="20" spans="1:24" ht="30" x14ac:dyDescent="0.25">
      <c r="A20" s="10">
        <f t="shared" si="0"/>
        <v>17</v>
      </c>
      <c r="B20" s="150" t="s">
        <v>199</v>
      </c>
      <c r="C20" s="36" t="s">
        <v>89</v>
      </c>
      <c r="D20" s="36" t="s">
        <v>12</v>
      </c>
      <c r="E20" s="36" t="s">
        <v>49</v>
      </c>
      <c r="F20" s="24" t="s">
        <v>19</v>
      </c>
      <c r="G20" s="24"/>
      <c r="H20" s="24"/>
      <c r="I20" s="30" t="s">
        <v>62</v>
      </c>
      <c r="J20" s="42" t="s">
        <v>100</v>
      </c>
      <c r="K20" s="123" t="s">
        <v>268</v>
      </c>
      <c r="L20" s="82" t="s">
        <v>36</v>
      </c>
      <c r="M20" s="105" t="s">
        <v>55</v>
      </c>
      <c r="N20" s="105"/>
      <c r="O20" s="105"/>
      <c r="P20" s="113" t="s">
        <v>211</v>
      </c>
      <c r="Q20" s="12">
        <v>45751</v>
      </c>
      <c r="R20" s="12"/>
      <c r="S20" s="12"/>
      <c r="T20" s="12"/>
      <c r="U20" s="12"/>
      <c r="V20" s="12"/>
      <c r="W20" s="12"/>
      <c r="X20" s="10"/>
    </row>
    <row r="21" spans="1:24" ht="30" x14ac:dyDescent="0.25">
      <c r="A21" s="10">
        <f t="shared" si="0"/>
        <v>18</v>
      </c>
      <c r="B21" s="150" t="s">
        <v>200</v>
      </c>
      <c r="C21" s="36" t="s">
        <v>89</v>
      </c>
      <c r="D21" s="23" t="s">
        <v>163</v>
      </c>
      <c r="E21" s="36" t="s">
        <v>49</v>
      </c>
      <c r="F21" s="24" t="s">
        <v>158</v>
      </c>
      <c r="G21" s="24"/>
      <c r="H21" s="24"/>
      <c r="I21" s="30" t="s">
        <v>62</v>
      </c>
      <c r="J21" s="42" t="s">
        <v>167</v>
      </c>
      <c r="K21" s="123" t="s">
        <v>269</v>
      </c>
      <c r="L21" s="82" t="s">
        <v>192</v>
      </c>
      <c r="M21" s="105" t="s">
        <v>191</v>
      </c>
      <c r="N21" s="105"/>
      <c r="O21" s="105"/>
      <c r="P21" s="113" t="s">
        <v>211</v>
      </c>
      <c r="Q21" s="12">
        <v>45751</v>
      </c>
      <c r="R21" s="12"/>
      <c r="S21" s="12"/>
      <c r="T21" s="12"/>
      <c r="U21" s="12"/>
      <c r="V21" s="12"/>
      <c r="W21" s="12"/>
      <c r="X21" s="10"/>
    </row>
    <row r="22" spans="1:24" x14ac:dyDescent="0.25">
      <c r="A22" s="10">
        <f t="shared" si="0"/>
        <v>19</v>
      </c>
      <c r="B22" s="150" t="s">
        <v>5</v>
      </c>
      <c r="C22" s="36" t="s">
        <v>89</v>
      </c>
      <c r="D22" s="29" t="s">
        <v>71</v>
      </c>
      <c r="E22" s="36" t="s">
        <v>66</v>
      </c>
      <c r="F22" s="24" t="s">
        <v>76</v>
      </c>
      <c r="G22" s="24"/>
      <c r="H22" s="24"/>
      <c r="I22" s="30" t="s">
        <v>62</v>
      </c>
      <c r="J22" s="44" t="s">
        <v>156</v>
      </c>
      <c r="K22" s="122" t="s">
        <v>270</v>
      </c>
      <c r="L22" s="82" t="s">
        <v>141</v>
      </c>
      <c r="M22" s="105" t="s">
        <v>142</v>
      </c>
      <c r="N22" s="105"/>
      <c r="O22" s="105"/>
      <c r="P22" s="113" t="s">
        <v>211</v>
      </c>
      <c r="Q22" s="12">
        <v>45751</v>
      </c>
      <c r="R22" s="12"/>
      <c r="S22" s="12"/>
      <c r="T22" s="12"/>
      <c r="U22" s="12"/>
      <c r="V22" s="12"/>
      <c r="W22" s="12"/>
      <c r="X22" s="10"/>
    </row>
    <row r="23" spans="1:24" ht="45" x14ac:dyDescent="0.25">
      <c r="A23" s="10">
        <f t="shared" si="0"/>
        <v>20</v>
      </c>
      <c r="B23" s="20" t="s">
        <v>5</v>
      </c>
      <c r="C23" s="36" t="s">
        <v>89</v>
      </c>
      <c r="D23" s="29" t="s">
        <v>184</v>
      </c>
      <c r="E23" s="36" t="s">
        <v>174</v>
      </c>
      <c r="F23" s="24" t="s">
        <v>175</v>
      </c>
      <c r="G23" s="24"/>
      <c r="H23" s="24"/>
      <c r="I23" s="30" t="s">
        <v>62</v>
      </c>
      <c r="J23" s="44" t="s">
        <v>176</v>
      </c>
      <c r="K23" s="126" t="s">
        <v>271</v>
      </c>
      <c r="L23" s="82" t="s">
        <v>178</v>
      </c>
      <c r="M23" s="105" t="s">
        <v>179</v>
      </c>
      <c r="N23" s="105"/>
      <c r="O23" s="105"/>
      <c r="P23" s="113" t="s">
        <v>211</v>
      </c>
      <c r="Q23" s="12">
        <v>45751</v>
      </c>
      <c r="R23" s="12"/>
      <c r="S23" s="12"/>
      <c r="T23" s="12"/>
      <c r="U23" s="12"/>
      <c r="V23" s="12"/>
      <c r="W23" s="12"/>
      <c r="X23" s="10"/>
    </row>
    <row r="24" spans="1:24" ht="30" x14ac:dyDescent="0.25">
      <c r="A24" s="10">
        <f t="shared" si="0"/>
        <v>21</v>
      </c>
      <c r="B24" s="20" t="s">
        <v>46</v>
      </c>
      <c r="C24" s="36" t="s">
        <v>89</v>
      </c>
      <c r="D24" s="29" t="s">
        <v>47</v>
      </c>
      <c r="E24" s="131" t="s">
        <v>49</v>
      </c>
      <c r="F24" s="24" t="s">
        <v>85</v>
      </c>
      <c r="G24" s="24"/>
      <c r="H24" s="24"/>
      <c r="I24" s="30"/>
      <c r="J24" s="17" t="s">
        <v>43</v>
      </c>
      <c r="K24" s="17" t="s">
        <v>43</v>
      </c>
      <c r="L24" s="10"/>
      <c r="M24" s="80" t="s">
        <v>61</v>
      </c>
      <c r="N24" s="80"/>
      <c r="O24" s="80"/>
      <c r="P24" s="17" t="s">
        <v>43</v>
      </c>
      <c r="Q24" s="17" t="s">
        <v>43</v>
      </c>
      <c r="R24" s="17"/>
      <c r="S24" s="17"/>
      <c r="T24" s="17"/>
      <c r="U24" s="17"/>
      <c r="V24" s="17"/>
      <c r="W24" s="17"/>
      <c r="X24" s="10"/>
    </row>
    <row r="25" spans="1:24" x14ac:dyDescent="0.25">
      <c r="A25" s="10">
        <f t="shared" si="0"/>
        <v>22</v>
      </c>
      <c r="B25" s="79" t="s">
        <v>63</v>
      </c>
      <c r="C25" s="14" t="s">
        <v>70</v>
      </c>
      <c r="D25" s="35" t="s">
        <v>43</v>
      </c>
      <c r="E25" s="131" t="s">
        <v>49</v>
      </c>
      <c r="F25" s="127"/>
      <c r="G25" s="127"/>
      <c r="H25" s="127"/>
      <c r="I25" s="10"/>
      <c r="J25" s="17" t="s">
        <v>43</v>
      </c>
      <c r="K25" s="17" t="s">
        <v>43</v>
      </c>
      <c r="L25" s="17" t="s">
        <v>43</v>
      </c>
      <c r="M25" s="17" t="s">
        <v>43</v>
      </c>
      <c r="N25" s="17"/>
      <c r="O25" s="17"/>
      <c r="P25" s="17" t="s">
        <v>43</v>
      </c>
      <c r="Q25" s="17" t="s">
        <v>43</v>
      </c>
      <c r="R25" s="17"/>
      <c r="S25" s="17"/>
      <c r="T25" s="17"/>
      <c r="U25" s="17"/>
      <c r="V25" s="17"/>
      <c r="W25" s="17"/>
      <c r="X25" s="10"/>
    </row>
    <row r="26" spans="1:24" ht="30" x14ac:dyDescent="0.25">
      <c r="A26" s="10">
        <f t="shared" si="0"/>
        <v>23</v>
      </c>
      <c r="B26" s="79" t="s">
        <v>90</v>
      </c>
      <c r="C26" s="36" t="s">
        <v>91</v>
      </c>
      <c r="D26" s="35" t="s">
        <v>43</v>
      </c>
      <c r="E26" s="127" t="s">
        <v>49</v>
      </c>
      <c r="F26" s="139" t="s">
        <v>131</v>
      </c>
      <c r="G26" s="139"/>
      <c r="H26" s="139"/>
      <c r="I26" s="10"/>
      <c r="J26" s="17" t="s">
        <v>43</v>
      </c>
      <c r="K26" s="17" t="s">
        <v>43</v>
      </c>
      <c r="L26" s="17" t="s">
        <v>43</v>
      </c>
      <c r="M26" s="17" t="s">
        <v>43</v>
      </c>
      <c r="N26" s="17"/>
      <c r="O26" s="17"/>
      <c r="P26" s="17" t="s">
        <v>43</v>
      </c>
      <c r="Q26" s="17" t="s">
        <v>43</v>
      </c>
      <c r="R26" s="17"/>
      <c r="S26" s="17"/>
      <c r="T26" s="17"/>
      <c r="U26" s="17"/>
      <c r="V26" s="17"/>
      <c r="W26" s="17"/>
      <c r="X26" s="10"/>
    </row>
    <row r="27" spans="1:24" x14ac:dyDescent="0.25">
      <c r="A27" s="10">
        <f t="shared" si="0"/>
        <v>24</v>
      </c>
      <c r="B27" s="79" t="s">
        <v>230</v>
      </c>
      <c r="C27" s="14" t="s">
        <v>70</v>
      </c>
      <c r="D27" s="35"/>
      <c r="E27" s="127" t="s">
        <v>231</v>
      </c>
      <c r="F27" s="140"/>
      <c r="G27" s="140"/>
      <c r="H27" s="140"/>
      <c r="I27" s="10"/>
      <c r="J27" s="17" t="s">
        <v>43</v>
      </c>
      <c r="K27" s="17" t="s">
        <v>43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0"/>
    </row>
    <row r="28" spans="1:24" ht="60" x14ac:dyDescent="0.25">
      <c r="A28" s="10">
        <f t="shared" si="0"/>
        <v>25</v>
      </c>
      <c r="B28" s="79" t="s">
        <v>212</v>
      </c>
      <c r="C28" s="36" t="s">
        <v>89</v>
      </c>
      <c r="D28" s="35" t="s">
        <v>43</v>
      </c>
      <c r="E28" s="127" t="s">
        <v>213</v>
      </c>
      <c r="F28" s="24" t="s">
        <v>215</v>
      </c>
      <c r="G28" s="24"/>
      <c r="H28" s="24"/>
      <c r="I28" s="10" t="s">
        <v>62</v>
      </c>
      <c r="J28" s="44" t="s">
        <v>216</v>
      </c>
      <c r="K28" s="10" t="s">
        <v>237</v>
      </c>
      <c r="L28" s="17" t="s">
        <v>251</v>
      </c>
      <c r="M28" s="118" t="s">
        <v>241</v>
      </c>
      <c r="N28" s="118" t="s">
        <v>255</v>
      </c>
      <c r="O28" s="118" t="s">
        <v>242</v>
      </c>
      <c r="P28" s="17" t="s">
        <v>43</v>
      </c>
      <c r="Q28" s="17" t="s">
        <v>43</v>
      </c>
      <c r="R28" s="17"/>
      <c r="S28" s="17"/>
      <c r="T28" s="17"/>
      <c r="U28" s="17"/>
      <c r="V28" s="17"/>
      <c r="W28" s="118" t="s">
        <v>242</v>
      </c>
      <c r="X28" s="10"/>
    </row>
    <row r="29" spans="1:24" ht="30" x14ac:dyDescent="0.25">
      <c r="A29" s="10">
        <f t="shared" si="0"/>
        <v>26</v>
      </c>
      <c r="B29" s="79" t="s">
        <v>212</v>
      </c>
      <c r="C29" s="36" t="s">
        <v>89</v>
      </c>
      <c r="D29" s="35" t="s">
        <v>43</v>
      </c>
      <c r="E29" s="127" t="s">
        <v>214</v>
      </c>
      <c r="F29" s="24" t="s">
        <v>217</v>
      </c>
      <c r="G29" s="24"/>
      <c r="H29" s="24"/>
      <c r="I29" s="10" t="s">
        <v>62</v>
      </c>
      <c r="J29" s="44" t="s">
        <v>219</v>
      </c>
      <c r="K29" s="10" t="s">
        <v>237</v>
      </c>
      <c r="L29" s="17" t="s">
        <v>218</v>
      </c>
      <c r="M29" s="118" t="s">
        <v>241</v>
      </c>
      <c r="N29" s="118" t="s">
        <v>253</v>
      </c>
      <c r="O29" s="118" t="s">
        <v>242</v>
      </c>
      <c r="P29" s="17" t="s">
        <v>43</v>
      </c>
      <c r="Q29" s="17" t="s">
        <v>43</v>
      </c>
      <c r="R29" s="17"/>
      <c r="S29" s="17"/>
      <c r="T29" s="17"/>
      <c r="U29" s="17"/>
      <c r="V29" s="17"/>
      <c r="W29" s="118" t="s">
        <v>242</v>
      </c>
      <c r="X29" s="10"/>
    </row>
    <row r="30" spans="1:24" ht="30" x14ac:dyDescent="0.25">
      <c r="A30" s="10">
        <f t="shared" si="0"/>
        <v>27</v>
      </c>
      <c r="B30" s="79" t="s">
        <v>212</v>
      </c>
      <c r="C30" s="36" t="s">
        <v>89</v>
      </c>
      <c r="D30" s="35" t="s">
        <v>43</v>
      </c>
      <c r="E30" s="127" t="s">
        <v>226</v>
      </c>
      <c r="F30" s="24" t="s">
        <v>224</v>
      </c>
      <c r="G30" s="24"/>
      <c r="H30" s="24"/>
      <c r="I30" s="10" t="s">
        <v>62</v>
      </c>
      <c r="J30" s="44" t="s">
        <v>246</v>
      </c>
      <c r="K30" s="10" t="s">
        <v>238</v>
      </c>
      <c r="L30" s="17" t="s">
        <v>250</v>
      </c>
      <c r="M30" s="118" t="s">
        <v>241</v>
      </c>
      <c r="N30" s="118" t="s">
        <v>256</v>
      </c>
      <c r="O30" s="118" t="s">
        <v>242</v>
      </c>
      <c r="P30" s="17" t="s">
        <v>43</v>
      </c>
      <c r="Q30" s="17" t="s">
        <v>43</v>
      </c>
      <c r="R30" s="17"/>
      <c r="S30" s="17"/>
      <c r="T30" s="17"/>
      <c r="U30" s="17"/>
      <c r="V30" s="17"/>
      <c r="W30" s="118" t="s">
        <v>242</v>
      </c>
      <c r="X30" s="10"/>
    </row>
    <row r="31" spans="1:24" ht="30" x14ac:dyDescent="0.25">
      <c r="A31" s="10">
        <f t="shared" si="0"/>
        <v>28</v>
      </c>
      <c r="B31" s="79" t="s">
        <v>212</v>
      </c>
      <c r="C31" s="36" t="s">
        <v>89</v>
      </c>
      <c r="D31" s="35" t="s">
        <v>43</v>
      </c>
      <c r="E31" s="127" t="s">
        <v>227</v>
      </c>
      <c r="F31" s="24" t="s">
        <v>225</v>
      </c>
      <c r="G31" s="24"/>
      <c r="H31" s="24"/>
      <c r="I31" s="10" t="s">
        <v>62</v>
      </c>
      <c r="J31" s="44" t="s">
        <v>247</v>
      </c>
      <c r="K31" s="10" t="s">
        <v>238</v>
      </c>
      <c r="L31" s="17" t="s">
        <v>259</v>
      </c>
      <c r="M31" s="118" t="s">
        <v>241</v>
      </c>
      <c r="N31" s="118" t="s">
        <v>257</v>
      </c>
      <c r="O31" s="118" t="s">
        <v>242</v>
      </c>
      <c r="P31" s="17" t="s">
        <v>43</v>
      </c>
      <c r="Q31" s="17" t="s">
        <v>43</v>
      </c>
      <c r="R31" s="17"/>
      <c r="S31" s="17"/>
      <c r="T31" s="17"/>
      <c r="U31" s="17"/>
      <c r="V31" s="17"/>
      <c r="W31" s="118" t="s">
        <v>242</v>
      </c>
      <c r="X31" s="10"/>
    </row>
    <row r="32" spans="1:24" ht="44.25" customHeight="1" x14ac:dyDescent="0.25">
      <c r="A32" s="10">
        <f t="shared" si="0"/>
        <v>29</v>
      </c>
      <c r="B32" s="79" t="s">
        <v>212</v>
      </c>
      <c r="C32" s="36" t="s">
        <v>89</v>
      </c>
      <c r="D32" s="35" t="s">
        <v>43</v>
      </c>
      <c r="E32" s="132" t="s">
        <v>232</v>
      </c>
      <c r="F32" s="24" t="s">
        <v>235</v>
      </c>
      <c r="G32" s="24"/>
      <c r="H32" s="24"/>
      <c r="I32" s="10" t="s">
        <v>62</v>
      </c>
      <c r="J32" s="44" t="s">
        <v>244</v>
      </c>
      <c r="K32" s="10" t="s">
        <v>239</v>
      </c>
      <c r="L32" s="17" t="s">
        <v>248</v>
      </c>
      <c r="M32" s="118" t="s">
        <v>241</v>
      </c>
      <c r="N32" s="118" t="s">
        <v>252</v>
      </c>
      <c r="O32" s="118" t="s">
        <v>242</v>
      </c>
      <c r="P32" s="17" t="s">
        <v>43</v>
      </c>
      <c r="Q32" s="17" t="s">
        <v>43</v>
      </c>
      <c r="R32" s="17"/>
      <c r="S32" s="17"/>
      <c r="T32" s="17"/>
      <c r="U32" s="17"/>
      <c r="V32" s="17"/>
      <c r="W32" s="118" t="s">
        <v>242</v>
      </c>
      <c r="X32" s="10"/>
    </row>
    <row r="33" spans="1:24" ht="42" customHeight="1" x14ac:dyDescent="0.25">
      <c r="A33" s="10">
        <f t="shared" si="0"/>
        <v>30</v>
      </c>
      <c r="B33" s="79" t="s">
        <v>212</v>
      </c>
      <c r="C33" s="36" t="s">
        <v>89</v>
      </c>
      <c r="D33" s="35" t="s">
        <v>43</v>
      </c>
      <c r="E33" s="132" t="s">
        <v>233</v>
      </c>
      <c r="F33" s="24" t="s">
        <v>236</v>
      </c>
      <c r="G33" s="24"/>
      <c r="H33" s="24"/>
      <c r="I33" s="10" t="s">
        <v>62</v>
      </c>
      <c r="J33" s="44" t="s">
        <v>245</v>
      </c>
      <c r="K33" s="10" t="s">
        <v>240</v>
      </c>
      <c r="L33" s="17" t="s">
        <v>249</v>
      </c>
      <c r="M33" s="118" t="s">
        <v>241</v>
      </c>
      <c r="N33" s="118" t="s">
        <v>254</v>
      </c>
      <c r="O33" s="118" t="s">
        <v>242</v>
      </c>
      <c r="P33" s="17" t="s">
        <v>43</v>
      </c>
      <c r="Q33" s="17" t="s">
        <v>43</v>
      </c>
      <c r="R33" s="17"/>
      <c r="S33" s="17"/>
      <c r="T33" s="17"/>
      <c r="U33" s="17"/>
      <c r="V33" s="17"/>
      <c r="W33" s="118" t="s">
        <v>242</v>
      </c>
      <c r="X33" s="10"/>
    </row>
    <row r="34" spans="1:24" ht="63" customHeight="1" x14ac:dyDescent="0.25">
      <c r="A34" s="10">
        <f t="shared" si="0"/>
        <v>31</v>
      </c>
      <c r="B34" s="79" t="s">
        <v>212</v>
      </c>
      <c r="C34" s="36" t="s">
        <v>89</v>
      </c>
      <c r="D34" s="35" t="s">
        <v>43</v>
      </c>
      <c r="E34" s="132" t="s">
        <v>234</v>
      </c>
      <c r="F34" s="24" t="s">
        <v>276</v>
      </c>
      <c r="G34" s="24"/>
      <c r="H34" s="24"/>
      <c r="I34" s="10" t="s">
        <v>62</v>
      </c>
      <c r="J34" s="44" t="s">
        <v>289</v>
      </c>
      <c r="K34" s="10" t="s">
        <v>290</v>
      </c>
      <c r="L34" s="17" t="s">
        <v>275</v>
      </c>
      <c r="M34" s="118" t="s">
        <v>241</v>
      </c>
      <c r="N34" s="118" t="s">
        <v>277</v>
      </c>
      <c r="O34" s="118" t="s">
        <v>242</v>
      </c>
      <c r="P34" s="17" t="s">
        <v>43</v>
      </c>
      <c r="Q34" s="17" t="s">
        <v>43</v>
      </c>
      <c r="R34" s="17"/>
      <c r="S34" s="17"/>
      <c r="T34" s="17"/>
      <c r="U34" s="17"/>
      <c r="V34" s="17"/>
      <c r="W34" s="118" t="s">
        <v>242</v>
      </c>
      <c r="X34" s="10"/>
    </row>
    <row r="35" spans="1:24" ht="63" customHeight="1" x14ac:dyDescent="0.25">
      <c r="A35" s="10">
        <f t="shared" si="0"/>
        <v>32</v>
      </c>
      <c r="B35" s="79" t="s">
        <v>212</v>
      </c>
      <c r="C35" s="36" t="s">
        <v>89</v>
      </c>
      <c r="D35" s="35" t="s">
        <v>43</v>
      </c>
      <c r="E35" s="132" t="s">
        <v>280</v>
      </c>
      <c r="F35" s="24" t="s">
        <v>282</v>
      </c>
      <c r="G35" s="24"/>
      <c r="H35" s="24"/>
      <c r="I35" s="10" t="s">
        <v>62</v>
      </c>
      <c r="J35" s="44" t="s">
        <v>284</v>
      </c>
      <c r="K35" s="11" t="s">
        <v>285</v>
      </c>
      <c r="L35" s="17" t="s">
        <v>283</v>
      </c>
      <c r="M35" s="118" t="s">
        <v>241</v>
      </c>
      <c r="N35" s="118" t="s">
        <v>281</v>
      </c>
      <c r="O35" s="118" t="s">
        <v>242</v>
      </c>
      <c r="P35" s="17" t="s">
        <v>43</v>
      </c>
      <c r="Q35" s="17" t="s">
        <v>43</v>
      </c>
      <c r="R35" s="17"/>
      <c r="S35" s="17"/>
      <c r="T35" s="17"/>
      <c r="U35" s="17"/>
      <c r="V35" s="17"/>
      <c r="W35" s="118" t="s">
        <v>242</v>
      </c>
      <c r="X35" s="10"/>
    </row>
    <row r="36" spans="1:24" ht="63" customHeight="1" x14ac:dyDescent="0.25">
      <c r="A36" s="10">
        <f t="shared" si="0"/>
        <v>33</v>
      </c>
      <c r="B36" s="79" t="s">
        <v>212</v>
      </c>
      <c r="C36" s="36" t="s">
        <v>89</v>
      </c>
      <c r="D36" s="35" t="s">
        <v>43</v>
      </c>
      <c r="E36" s="132" t="s">
        <v>319</v>
      </c>
      <c r="F36" s="24" t="s">
        <v>316</v>
      </c>
      <c r="G36" s="24"/>
      <c r="H36" s="24"/>
      <c r="I36" s="10" t="s">
        <v>62</v>
      </c>
      <c r="J36" s="141" t="s">
        <v>315</v>
      </c>
      <c r="K36" s="11" t="s">
        <v>317</v>
      </c>
      <c r="L36" s="17"/>
      <c r="M36" s="118" t="s">
        <v>241</v>
      </c>
      <c r="N36" s="118" t="s">
        <v>320</v>
      </c>
      <c r="O36" s="118" t="s">
        <v>318</v>
      </c>
      <c r="P36" s="17" t="s">
        <v>43</v>
      </c>
      <c r="Q36" s="17" t="s">
        <v>43</v>
      </c>
      <c r="R36" s="17"/>
      <c r="S36" s="17"/>
      <c r="T36" s="17"/>
      <c r="U36" s="17"/>
      <c r="V36" s="17"/>
      <c r="W36" s="118" t="s">
        <v>242</v>
      </c>
      <c r="X36" s="10"/>
    </row>
    <row r="37" spans="1:24" ht="63" customHeight="1" x14ac:dyDescent="0.25">
      <c r="A37" s="10">
        <f t="shared" si="0"/>
        <v>34</v>
      </c>
      <c r="B37" s="149" t="s">
        <v>333</v>
      </c>
      <c r="C37" s="36" t="s">
        <v>89</v>
      </c>
      <c r="D37" s="35"/>
      <c r="E37" s="132" t="s">
        <v>231</v>
      </c>
      <c r="F37" s="24" t="s">
        <v>295</v>
      </c>
      <c r="G37" s="24"/>
      <c r="H37" s="24"/>
      <c r="I37" s="10" t="s">
        <v>62</v>
      </c>
      <c r="J37" s="35" t="s">
        <v>43</v>
      </c>
      <c r="K37" s="35" t="s">
        <v>43</v>
      </c>
      <c r="L37" s="17" t="s">
        <v>313</v>
      </c>
      <c r="M37" s="118" t="s">
        <v>241</v>
      </c>
      <c r="N37" s="118"/>
      <c r="O37" s="118"/>
      <c r="P37" s="17"/>
      <c r="Q37" s="17"/>
      <c r="R37" s="17"/>
      <c r="S37" s="17"/>
      <c r="T37" s="17"/>
      <c r="U37" s="17"/>
      <c r="V37" s="17"/>
      <c r="W37" s="17"/>
      <c r="X37" s="10"/>
    </row>
    <row r="38" spans="1:24" ht="54.75" customHeight="1" x14ac:dyDescent="0.25">
      <c r="A38" s="10">
        <f t="shared" si="0"/>
        <v>35</v>
      </c>
      <c r="B38" s="149" t="s">
        <v>334</v>
      </c>
      <c r="C38" s="36" t="s">
        <v>89</v>
      </c>
      <c r="D38" s="35"/>
      <c r="E38" s="127" t="s">
        <v>51</v>
      </c>
      <c r="F38" s="24" t="s">
        <v>272</v>
      </c>
      <c r="G38" s="24"/>
      <c r="H38" s="24"/>
      <c r="I38" s="10" t="s">
        <v>62</v>
      </c>
      <c r="J38" s="44" t="s">
        <v>273</v>
      </c>
      <c r="K38" s="117" t="s">
        <v>274</v>
      </c>
      <c r="L38" s="17" t="s">
        <v>312</v>
      </c>
      <c r="M38" s="118" t="s">
        <v>241</v>
      </c>
      <c r="N38" s="17" t="s">
        <v>43</v>
      </c>
      <c r="O38" s="17" t="s">
        <v>43</v>
      </c>
      <c r="P38" s="17" t="s">
        <v>43</v>
      </c>
      <c r="Q38" s="17"/>
      <c r="R38" s="17" t="s">
        <v>43</v>
      </c>
      <c r="S38" s="17"/>
      <c r="T38" s="17"/>
      <c r="U38" s="17"/>
      <c r="V38" s="17"/>
      <c r="W38" s="17"/>
      <c r="X38" s="10"/>
    </row>
    <row r="39" spans="1:24" ht="60" x14ac:dyDescent="0.25">
      <c r="A39" s="10">
        <f t="shared" si="0"/>
        <v>36</v>
      </c>
      <c r="B39" s="154" t="s">
        <v>78</v>
      </c>
      <c r="C39" s="36" t="s">
        <v>89</v>
      </c>
      <c r="D39" s="35"/>
      <c r="E39" s="127" t="s">
        <v>231</v>
      </c>
      <c r="F39" s="24" t="s">
        <v>287</v>
      </c>
      <c r="G39" s="24"/>
      <c r="H39" s="24"/>
      <c r="I39" s="10" t="s">
        <v>62</v>
      </c>
      <c r="J39" s="44" t="s">
        <v>286</v>
      </c>
      <c r="K39" s="12" t="s">
        <v>288</v>
      </c>
      <c r="L39" s="17" t="s">
        <v>291</v>
      </c>
      <c r="M39" s="118" t="s">
        <v>241</v>
      </c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0"/>
    </row>
    <row r="40" spans="1:24" ht="45" x14ac:dyDescent="0.25">
      <c r="A40" s="10">
        <f t="shared" si="0"/>
        <v>37</v>
      </c>
      <c r="B40" s="154" t="s">
        <v>78</v>
      </c>
      <c r="C40" s="36" t="s">
        <v>89</v>
      </c>
      <c r="D40" s="35"/>
      <c r="E40" s="127" t="s">
        <v>306</v>
      </c>
      <c r="F40" s="24" t="s">
        <v>305</v>
      </c>
      <c r="G40" s="24"/>
      <c r="H40" s="24"/>
      <c r="I40" s="10" t="s">
        <v>62</v>
      </c>
      <c r="J40" s="44" t="s">
        <v>309</v>
      </c>
      <c r="K40" s="12" t="s">
        <v>310</v>
      </c>
      <c r="L40" s="17" t="s">
        <v>307</v>
      </c>
      <c r="M40" s="118" t="s">
        <v>241</v>
      </c>
      <c r="N40" s="17" t="s">
        <v>308</v>
      </c>
      <c r="O40" s="17" t="s">
        <v>308</v>
      </c>
      <c r="P40" s="17" t="s">
        <v>308</v>
      </c>
      <c r="Q40" s="17" t="s">
        <v>308</v>
      </c>
      <c r="R40" s="17" t="s">
        <v>308</v>
      </c>
      <c r="S40" s="17" t="s">
        <v>308</v>
      </c>
      <c r="T40" s="17" t="s">
        <v>308</v>
      </c>
      <c r="U40" s="17" t="s">
        <v>308</v>
      </c>
      <c r="V40" s="17" t="s">
        <v>308</v>
      </c>
      <c r="W40" s="17" t="s">
        <v>308</v>
      </c>
      <c r="X40" s="10"/>
    </row>
    <row r="41" spans="1:24" ht="45" x14ac:dyDescent="0.25">
      <c r="A41" s="10">
        <f t="shared" si="0"/>
        <v>38</v>
      </c>
      <c r="B41" s="149" t="s">
        <v>294</v>
      </c>
      <c r="C41" s="36" t="s">
        <v>89</v>
      </c>
      <c r="D41" s="35" t="s">
        <v>43</v>
      </c>
      <c r="E41" s="127" t="s">
        <v>65</v>
      </c>
      <c r="F41" s="24" t="s">
        <v>292</v>
      </c>
      <c r="G41" s="24"/>
      <c r="H41" s="24"/>
      <c r="I41" s="10" t="s">
        <v>62</v>
      </c>
      <c r="J41" s="44" t="s">
        <v>300</v>
      </c>
      <c r="K41" s="12" t="s">
        <v>301</v>
      </c>
      <c r="L41" s="17" t="s">
        <v>311</v>
      </c>
      <c r="M41" s="118" t="s">
        <v>241</v>
      </c>
      <c r="N41" s="17" t="s">
        <v>308</v>
      </c>
      <c r="O41" s="17" t="s">
        <v>308</v>
      </c>
      <c r="P41" s="17" t="s">
        <v>308</v>
      </c>
      <c r="Q41" s="17" t="s">
        <v>308</v>
      </c>
      <c r="R41" s="17" t="s">
        <v>308</v>
      </c>
      <c r="S41" s="17" t="s">
        <v>308</v>
      </c>
      <c r="T41" s="17" t="s">
        <v>308</v>
      </c>
      <c r="U41" s="17" t="s">
        <v>308</v>
      </c>
      <c r="V41" s="17" t="s">
        <v>308</v>
      </c>
      <c r="W41" s="17" t="s">
        <v>308</v>
      </c>
      <c r="X41" s="10"/>
    </row>
    <row r="42" spans="1:24" x14ac:dyDescent="0.25">
      <c r="A42" s="10"/>
      <c r="B42" s="128"/>
      <c r="C42" s="36"/>
      <c r="D42" s="31"/>
      <c r="E42" s="127"/>
      <c r="F42" s="11"/>
      <c r="G42" s="11"/>
      <c r="H42" s="11"/>
      <c r="I42" s="10"/>
      <c r="J42" s="76"/>
      <c r="K42" s="7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0"/>
    </row>
    <row r="43" spans="1:24" x14ac:dyDescent="0.25">
      <c r="A43" s="10"/>
      <c r="B43" s="128"/>
      <c r="C43" s="36"/>
      <c r="D43" s="35"/>
      <c r="E43" s="127"/>
      <c r="F43" s="11"/>
      <c r="G43" s="11"/>
      <c r="H43" s="11"/>
      <c r="I43" s="10"/>
      <c r="J43" s="76"/>
      <c r="K43" s="7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0"/>
    </row>
    <row r="44" spans="1:24" x14ac:dyDescent="0.25">
      <c r="A44" s="10"/>
      <c r="B44" s="79"/>
      <c r="C44" s="36"/>
      <c r="D44" s="35"/>
      <c r="E44" s="127"/>
      <c r="F44" s="11"/>
      <c r="G44" s="11"/>
      <c r="H44" s="11"/>
      <c r="I44" s="10"/>
      <c r="J44" s="10"/>
      <c r="K44" s="10"/>
      <c r="L44" s="10"/>
      <c r="M44" s="80"/>
      <c r="N44" s="80"/>
      <c r="O44" s="80"/>
      <c r="P44" s="10"/>
      <c r="Q44" s="10"/>
      <c r="R44" s="10"/>
      <c r="S44" s="10"/>
      <c r="T44" s="10"/>
      <c r="U44" s="10"/>
      <c r="V44" s="10"/>
      <c r="W44" s="10"/>
      <c r="X44" s="10"/>
    </row>
    <row r="45" spans="1:24" x14ac:dyDescent="0.25">
      <c r="A45" s="10"/>
      <c r="B45" s="20"/>
      <c r="C45" s="36"/>
      <c r="D45" s="29"/>
      <c r="E45" s="133" t="s">
        <v>102</v>
      </c>
      <c r="F45" s="21"/>
      <c r="G45" s="21"/>
      <c r="H45" s="21"/>
      <c r="I45" s="30"/>
      <c r="J45" s="44"/>
      <c r="K45" s="102"/>
      <c r="L45" s="22"/>
      <c r="M45" s="86"/>
      <c r="N45" s="86"/>
      <c r="O45" s="86"/>
      <c r="P45" s="10"/>
      <c r="Q45" s="12"/>
      <c r="R45" s="12"/>
      <c r="S45" s="12"/>
      <c r="T45" s="12"/>
      <c r="U45" s="12"/>
      <c r="V45" s="12"/>
      <c r="W45" s="12"/>
      <c r="X45" s="10"/>
    </row>
    <row r="46" spans="1:24" ht="30" x14ac:dyDescent="0.25">
      <c r="A46" s="10">
        <v>1</v>
      </c>
      <c r="B46" s="20" t="s">
        <v>67</v>
      </c>
      <c r="C46" s="36" t="s">
        <v>89</v>
      </c>
      <c r="D46" s="29" t="s">
        <v>73</v>
      </c>
      <c r="E46" s="36" t="s">
        <v>54</v>
      </c>
      <c r="F46" s="21" t="s">
        <v>82</v>
      </c>
      <c r="G46" s="21"/>
      <c r="H46" s="21"/>
      <c r="I46" s="30" t="s">
        <v>62</v>
      </c>
      <c r="J46" s="44" t="s">
        <v>223</v>
      </c>
      <c r="K46" s="122" t="s">
        <v>222</v>
      </c>
      <c r="L46" s="81"/>
      <c r="M46" s="86"/>
      <c r="N46" s="86"/>
      <c r="O46" s="86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30" x14ac:dyDescent="0.25">
      <c r="A47" s="10">
        <f>+A46+1</f>
        <v>2</v>
      </c>
      <c r="B47" s="20" t="s">
        <v>69</v>
      </c>
      <c r="C47" s="36" t="s">
        <v>164</v>
      </c>
      <c r="D47" s="29" t="s">
        <v>72</v>
      </c>
      <c r="E47" s="36" t="s">
        <v>54</v>
      </c>
      <c r="F47" s="21" t="s">
        <v>161</v>
      </c>
      <c r="G47" s="21"/>
      <c r="H47" s="21"/>
      <c r="I47" s="30" t="s">
        <v>62</v>
      </c>
      <c r="J47" s="17" t="s">
        <v>43</v>
      </c>
      <c r="K47" s="17" t="s">
        <v>43</v>
      </c>
      <c r="L47" s="17" t="s">
        <v>43</v>
      </c>
      <c r="M47" s="17" t="s">
        <v>43</v>
      </c>
      <c r="N47" s="17"/>
      <c r="O47" s="17"/>
      <c r="P47" s="17" t="s">
        <v>43</v>
      </c>
      <c r="Q47" s="17" t="s">
        <v>43</v>
      </c>
      <c r="R47" s="17"/>
      <c r="S47" s="17"/>
      <c r="T47" s="17"/>
      <c r="U47" s="17"/>
      <c r="V47" s="17"/>
      <c r="W47" s="17"/>
      <c r="X47" s="17" t="s">
        <v>43</v>
      </c>
    </row>
    <row r="48" spans="1:24" ht="45" x14ac:dyDescent="0.25">
      <c r="A48" s="10">
        <f>+A47+1</f>
        <v>3</v>
      </c>
      <c r="B48" s="154" t="s">
        <v>78</v>
      </c>
      <c r="C48" s="36" t="s">
        <v>89</v>
      </c>
      <c r="D48" s="29" t="s">
        <v>336</v>
      </c>
      <c r="E48" s="36" t="s">
        <v>54</v>
      </c>
      <c r="F48" s="21" t="s">
        <v>338</v>
      </c>
      <c r="G48" s="21"/>
      <c r="H48" s="21"/>
      <c r="I48" s="30" t="s">
        <v>62</v>
      </c>
      <c r="J48" s="17" t="s">
        <v>335</v>
      </c>
      <c r="K48" s="155" t="s">
        <v>337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 spans="1:24" x14ac:dyDescent="0.25">
      <c r="A49" s="10"/>
      <c r="B49" s="20"/>
      <c r="C49" s="36"/>
      <c r="D49" s="29"/>
      <c r="E49" s="36"/>
      <c r="F49" s="21"/>
      <c r="G49" s="21"/>
      <c r="H49" s="21"/>
      <c r="I49" s="30"/>
      <c r="J49" s="27"/>
      <c r="K49" s="77"/>
      <c r="L49" s="13"/>
      <c r="M49" s="86"/>
      <c r="N49" s="86"/>
      <c r="O49" s="86"/>
      <c r="P49" s="10"/>
      <c r="Q49" s="10"/>
      <c r="R49" s="10"/>
      <c r="S49" s="10"/>
      <c r="T49" s="10"/>
      <c r="U49" s="10"/>
      <c r="V49" s="10"/>
      <c r="W49" s="10"/>
      <c r="X49" s="10"/>
    </row>
    <row r="50" spans="1:24" x14ac:dyDescent="0.25">
      <c r="A50" s="10"/>
      <c r="B50" s="20"/>
      <c r="C50" s="36"/>
      <c r="D50" s="29"/>
      <c r="E50" s="133" t="s">
        <v>104</v>
      </c>
      <c r="F50" s="21"/>
      <c r="G50" s="21"/>
      <c r="H50" s="21"/>
      <c r="I50" s="30"/>
      <c r="J50" s="27"/>
      <c r="K50" s="77"/>
      <c r="L50" s="13"/>
      <c r="M50" s="86"/>
      <c r="N50" s="86"/>
      <c r="O50" s="86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30" x14ac:dyDescent="0.25">
      <c r="A51" s="10">
        <v>1</v>
      </c>
      <c r="B51" s="20" t="s">
        <v>2</v>
      </c>
      <c r="C51" s="36" t="s">
        <v>89</v>
      </c>
      <c r="D51" s="23" t="s">
        <v>64</v>
      </c>
      <c r="E51" s="130" t="s">
        <v>53</v>
      </c>
      <c r="F51" s="11" t="s">
        <v>132</v>
      </c>
      <c r="G51" s="11"/>
      <c r="H51" s="11"/>
      <c r="I51" s="26"/>
      <c r="J51" s="42" t="s">
        <v>97</v>
      </c>
      <c r="K51" s="123" t="s">
        <v>180</v>
      </c>
      <c r="L51" s="10" t="s">
        <v>61</v>
      </c>
      <c r="M51" s="10" t="s">
        <v>61</v>
      </c>
      <c r="N51" s="10"/>
      <c r="O51" s="10"/>
      <c r="P51" s="17" t="s">
        <v>43</v>
      </c>
      <c r="Q51" s="17" t="s">
        <v>43</v>
      </c>
      <c r="R51" s="17"/>
      <c r="S51" s="17"/>
      <c r="T51" s="17"/>
      <c r="U51" s="17"/>
      <c r="V51" s="17"/>
      <c r="W51" s="17"/>
      <c r="X51" s="10"/>
    </row>
    <row r="52" spans="1:24" ht="45" x14ac:dyDescent="0.25">
      <c r="A52" s="10">
        <f>+A51+1</f>
        <v>2</v>
      </c>
      <c r="B52" s="20" t="s">
        <v>67</v>
      </c>
      <c r="C52" s="88" t="s">
        <v>89</v>
      </c>
      <c r="D52" s="89"/>
      <c r="E52" s="130" t="s">
        <v>53</v>
      </c>
      <c r="F52" s="101" t="s">
        <v>195</v>
      </c>
      <c r="G52" s="101"/>
      <c r="H52" s="101"/>
      <c r="I52" s="90"/>
      <c r="J52" s="27" t="s">
        <v>153</v>
      </c>
      <c r="K52" s="10" t="s">
        <v>299</v>
      </c>
      <c r="L52" s="81"/>
      <c r="M52" s="91"/>
      <c r="N52" s="91"/>
      <c r="O52" s="91"/>
      <c r="P52" s="87"/>
      <c r="Q52" s="87"/>
      <c r="R52" s="87"/>
      <c r="S52" s="87"/>
      <c r="T52" s="87"/>
      <c r="U52" s="87"/>
      <c r="V52" s="87"/>
      <c r="W52" s="87"/>
      <c r="X52" s="92" t="s">
        <v>154</v>
      </c>
    </row>
    <row r="53" spans="1:24" ht="30" x14ac:dyDescent="0.25">
      <c r="A53" s="10">
        <f>+A52+1</f>
        <v>3</v>
      </c>
      <c r="B53" s="20" t="s">
        <v>4</v>
      </c>
      <c r="C53" s="36" t="s">
        <v>89</v>
      </c>
      <c r="D53" s="31" t="s">
        <v>75</v>
      </c>
      <c r="E53" s="131" t="s">
        <v>53</v>
      </c>
      <c r="F53" s="11" t="s">
        <v>81</v>
      </c>
      <c r="G53" s="11"/>
      <c r="H53" s="11"/>
      <c r="I53" s="32"/>
      <c r="J53" s="33" t="s">
        <v>92</v>
      </c>
      <c r="K53" s="125" t="s">
        <v>93</v>
      </c>
      <c r="L53" s="28" t="s">
        <v>134</v>
      </c>
      <c r="M53" s="94" t="s">
        <v>202</v>
      </c>
      <c r="N53" s="119"/>
      <c r="O53" s="119"/>
      <c r="Q53" s="12"/>
      <c r="R53" s="12"/>
      <c r="S53" s="12"/>
      <c r="T53" s="12"/>
      <c r="U53" s="12"/>
      <c r="V53" s="50" t="s">
        <v>209</v>
      </c>
      <c r="W53" s="112">
        <v>45747</v>
      </c>
      <c r="X53" s="10"/>
    </row>
    <row r="54" spans="1:24" ht="30" x14ac:dyDescent="0.25">
      <c r="A54" s="10">
        <f>+A53+1</f>
        <v>4</v>
      </c>
      <c r="B54" s="20" t="s">
        <v>68</v>
      </c>
      <c r="C54" s="36" t="s">
        <v>89</v>
      </c>
      <c r="D54" s="29" t="s">
        <v>74</v>
      </c>
      <c r="E54" s="36" t="s">
        <v>53</v>
      </c>
      <c r="F54" s="21" t="s">
        <v>83</v>
      </c>
      <c r="G54" s="21"/>
      <c r="H54" s="21"/>
      <c r="I54" s="30"/>
      <c r="J54" s="27" t="s">
        <v>150</v>
      </c>
      <c r="K54" s="10" t="s">
        <v>302</v>
      </c>
      <c r="L54" s="13"/>
      <c r="M54" s="19"/>
      <c r="N54" s="19"/>
      <c r="O54" s="19"/>
      <c r="P54" s="10" t="s">
        <v>140</v>
      </c>
      <c r="Q54" s="10"/>
      <c r="R54" s="10"/>
      <c r="S54" s="10"/>
      <c r="T54" s="10"/>
      <c r="U54" s="10"/>
      <c r="V54" s="50" t="s">
        <v>210</v>
      </c>
      <c r="W54" s="112">
        <v>45747</v>
      </c>
      <c r="X54" s="10"/>
    </row>
    <row r="55" spans="1:24" x14ac:dyDescent="0.25">
      <c r="A55" s="10"/>
      <c r="B55" s="20"/>
      <c r="C55" s="36"/>
      <c r="D55" s="29"/>
      <c r="E55" s="36"/>
      <c r="F55" s="21"/>
      <c r="G55" s="21"/>
      <c r="H55" s="21"/>
      <c r="I55" s="30"/>
      <c r="J55" s="27"/>
      <c r="K55" s="77"/>
      <c r="L55" s="13"/>
      <c r="M55" s="19"/>
      <c r="N55" s="19"/>
      <c r="O55" s="19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36" x14ac:dyDescent="0.25">
      <c r="A56" s="50">
        <v>1</v>
      </c>
      <c r="B56" s="60"/>
      <c r="C56" s="60"/>
      <c r="D56" s="67"/>
      <c r="E56" s="133" t="s">
        <v>196</v>
      </c>
      <c r="F56" s="69" t="s">
        <v>296</v>
      </c>
      <c r="G56" s="69"/>
      <c r="H56" s="69"/>
      <c r="I56" s="42"/>
      <c r="J56" s="135" t="s">
        <v>297</v>
      </c>
      <c r="K56" s="104" t="s">
        <v>298</v>
      </c>
      <c r="L56" s="72"/>
      <c r="M56" s="50"/>
      <c r="N56" s="50"/>
      <c r="O56" s="50"/>
      <c r="P56" s="50"/>
      <c r="Q56" s="50"/>
      <c r="R56" s="111"/>
      <c r="S56" s="111"/>
      <c r="T56" s="111"/>
      <c r="U56" s="111"/>
      <c r="V56" s="111"/>
      <c r="W56" s="111"/>
    </row>
    <row r="57" spans="1:24" x14ac:dyDescent="0.25">
      <c r="A57" s="50"/>
      <c r="B57" s="60"/>
      <c r="C57" s="60"/>
      <c r="D57" s="67"/>
      <c r="E57" s="134"/>
      <c r="F57" s="68"/>
      <c r="G57" s="68"/>
      <c r="H57" s="68"/>
      <c r="I57" s="42"/>
      <c r="J57" s="59"/>
      <c r="K57" s="104"/>
      <c r="L57" s="72"/>
      <c r="M57" s="50"/>
      <c r="N57" s="50"/>
      <c r="O57" s="50"/>
      <c r="P57" s="50"/>
      <c r="Q57" s="50"/>
      <c r="R57" s="111"/>
      <c r="S57" s="111"/>
      <c r="T57" s="111"/>
      <c r="U57" s="111"/>
      <c r="V57" s="111"/>
      <c r="W57" s="111"/>
    </row>
    <row r="58" spans="1:24" x14ac:dyDescent="0.25">
      <c r="A58" s="10"/>
      <c r="B58" s="20"/>
      <c r="C58" s="36"/>
      <c r="D58" s="29"/>
      <c r="E58" s="36"/>
      <c r="F58" s="21"/>
      <c r="G58" s="21"/>
      <c r="H58" s="21"/>
      <c r="I58" s="30"/>
      <c r="J58" s="27"/>
      <c r="K58" s="77"/>
      <c r="L58" s="13"/>
      <c r="M58" s="19"/>
      <c r="N58" s="19"/>
      <c r="O58" s="19"/>
      <c r="P58" s="10"/>
      <c r="Q58" s="10"/>
      <c r="R58" s="10"/>
      <c r="S58" s="10"/>
      <c r="T58" s="10"/>
      <c r="U58" s="10"/>
      <c r="V58" s="10"/>
      <c r="W58" s="10"/>
      <c r="X58" s="10"/>
    </row>
    <row r="59" spans="1:24" x14ac:dyDescent="0.25">
      <c r="A59" s="10"/>
      <c r="B59" s="20"/>
      <c r="C59" s="36"/>
      <c r="D59" s="29"/>
      <c r="E59" s="36"/>
      <c r="F59" s="21"/>
      <c r="G59" s="21"/>
      <c r="H59" s="21"/>
      <c r="I59" s="30"/>
      <c r="J59" s="27"/>
      <c r="K59" s="77"/>
      <c r="L59" s="13"/>
      <c r="M59" s="19"/>
      <c r="N59" s="19"/>
      <c r="O59" s="19"/>
      <c r="P59" s="10"/>
      <c r="Q59" s="10"/>
      <c r="R59" s="10"/>
      <c r="S59" s="10"/>
      <c r="T59" s="10"/>
      <c r="U59" s="10"/>
      <c r="V59" s="10"/>
      <c r="W59" s="10"/>
      <c r="X59" s="10"/>
    </row>
    <row r="60" spans="1:24" x14ac:dyDescent="0.25">
      <c r="A60" s="10"/>
      <c r="B60" s="20"/>
      <c r="C60" s="36"/>
      <c r="D60" s="29"/>
      <c r="E60" s="133" t="s">
        <v>105</v>
      </c>
      <c r="F60" s="21"/>
      <c r="G60" s="21"/>
      <c r="H60" s="21"/>
      <c r="I60" s="30"/>
      <c r="J60" s="27"/>
      <c r="K60" s="77"/>
      <c r="L60" s="13"/>
      <c r="M60" s="19"/>
      <c r="N60" s="19"/>
      <c r="O60" s="19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30" customHeight="1" x14ac:dyDescent="0.25">
      <c r="A61" s="10">
        <v>1</v>
      </c>
      <c r="B61" s="80" t="s">
        <v>78</v>
      </c>
      <c r="C61" s="36" t="s">
        <v>89</v>
      </c>
      <c r="D61" s="14"/>
      <c r="E61" s="127" t="s">
        <v>77</v>
      </c>
      <c r="F61" s="11" t="s">
        <v>229</v>
      </c>
      <c r="G61" s="11"/>
      <c r="H61" s="11"/>
      <c r="I61" s="10"/>
      <c r="J61" s="108" t="s">
        <v>98</v>
      </c>
      <c r="K61" s="122" t="s">
        <v>228</v>
      </c>
      <c r="L61" s="10"/>
      <c r="M61" s="10"/>
      <c r="N61" s="10"/>
      <c r="O61" s="10"/>
      <c r="P61" s="17" t="s">
        <v>43</v>
      </c>
      <c r="Q61" s="17" t="s">
        <v>43</v>
      </c>
      <c r="R61" s="17"/>
      <c r="S61" s="17"/>
      <c r="T61" s="17"/>
      <c r="U61" s="17"/>
      <c r="V61" s="17"/>
      <c r="W61" s="17"/>
      <c r="X61" s="10"/>
    </row>
    <row r="62" spans="1:24" ht="30" customHeight="1" x14ac:dyDescent="0.25">
      <c r="A62" s="10"/>
      <c r="B62" s="80"/>
      <c r="C62" s="36"/>
      <c r="D62" s="14"/>
      <c r="E62" s="127"/>
      <c r="F62" s="11"/>
      <c r="G62" s="11"/>
      <c r="H62" s="11"/>
      <c r="I62" s="10"/>
      <c r="J62" s="45"/>
      <c r="K62" s="102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30" customHeight="1" x14ac:dyDescent="0.25">
      <c r="A63" s="10"/>
      <c r="B63" s="80"/>
      <c r="C63" s="36"/>
      <c r="D63" s="14"/>
      <c r="E63" s="133" t="s">
        <v>106</v>
      </c>
      <c r="F63" s="11"/>
      <c r="G63" s="11"/>
      <c r="H63" s="11"/>
      <c r="I63" s="10"/>
      <c r="J63" s="45"/>
      <c r="K63" s="102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30" x14ac:dyDescent="0.25">
      <c r="A64" s="10">
        <v>1</v>
      </c>
      <c r="B64" s="20" t="s">
        <v>67</v>
      </c>
      <c r="C64" s="36" t="s">
        <v>89</v>
      </c>
      <c r="D64" s="29"/>
      <c r="E64" s="36" t="s">
        <v>79</v>
      </c>
      <c r="F64" s="21" t="s">
        <v>84</v>
      </c>
      <c r="G64" s="21"/>
      <c r="H64" s="21"/>
      <c r="I64" s="30"/>
      <c r="J64" s="27" t="s">
        <v>136</v>
      </c>
      <c r="K64" s="10" t="s">
        <v>303</v>
      </c>
      <c r="L64" s="13" t="s">
        <v>171</v>
      </c>
      <c r="M64" s="77" t="s">
        <v>203</v>
      </c>
      <c r="N64" s="77"/>
      <c r="O64" s="77"/>
      <c r="P64" s="50" t="s">
        <v>207</v>
      </c>
      <c r="Q64" s="12">
        <v>45663</v>
      </c>
      <c r="R64" s="12"/>
      <c r="S64" s="12"/>
      <c r="T64" s="12"/>
      <c r="U64" s="12"/>
      <c r="V64" s="12"/>
      <c r="W64" s="12"/>
      <c r="X64" s="10"/>
    </row>
    <row r="65" spans="1:24" ht="18" customHeight="1" x14ac:dyDescent="0.25">
      <c r="A65" s="10"/>
      <c r="B65" s="80"/>
      <c r="C65" s="10"/>
      <c r="D65" s="14"/>
      <c r="E65" s="127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8" customHeight="1" x14ac:dyDescent="0.25">
      <c r="A66" s="10"/>
      <c r="B66" s="10"/>
      <c r="C66" s="10"/>
      <c r="D66" s="14"/>
      <c r="E66" s="127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x14ac:dyDescent="0.25">
      <c r="E67" s="134"/>
    </row>
    <row r="68" spans="1:24" x14ac:dyDescent="0.25">
      <c r="E68" s="134"/>
    </row>
    <row r="69" spans="1:24" x14ac:dyDescent="0.25">
      <c r="E69" s="134"/>
    </row>
    <row r="70" spans="1:24" x14ac:dyDescent="0.25">
      <c r="E70" s="134"/>
    </row>
  </sheetData>
  <autoFilter ref="A2:X64"/>
  <mergeCells count="1">
    <mergeCell ref="A1:F1"/>
  </mergeCells>
  <pageMargins left="0.39370078740157483" right="0.39370078740157483" top="0.19685039370078741" bottom="0.19685039370078741" header="0.31496062992125984" footer="0.31496062992125984"/>
  <pageSetup paperSize="9" scale="3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2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" sqref="F4"/>
    </sheetView>
  </sheetViews>
  <sheetFormatPr defaultRowHeight="15" x14ac:dyDescent="0.25"/>
  <cols>
    <col min="1" max="1" width="4.28515625" customWidth="1"/>
    <col min="2" max="2" width="29.7109375" bestFit="1" customWidth="1"/>
    <col min="3" max="3" width="17.28515625" bestFit="1" customWidth="1"/>
    <col min="4" max="4" width="15.85546875" bestFit="1" customWidth="1"/>
    <col min="5" max="5" width="45.7109375" customWidth="1"/>
    <col min="6" max="6" width="12.7109375" customWidth="1"/>
    <col min="7" max="7" width="19.5703125" customWidth="1"/>
    <col min="8" max="8" width="14.5703125" customWidth="1"/>
    <col min="9" max="9" width="25.28515625" bestFit="1" customWidth="1"/>
    <col min="10" max="10" width="15.5703125" bestFit="1" customWidth="1"/>
    <col min="11" max="11" width="26.140625" bestFit="1" customWidth="1"/>
    <col min="12" max="12" width="12.42578125" bestFit="1" customWidth="1"/>
    <col min="13" max="13" width="13.140625" bestFit="1" customWidth="1"/>
  </cols>
  <sheetData>
    <row r="1" spans="1:13" ht="24" customHeight="1" x14ac:dyDescent="0.3">
      <c r="A1" s="158" t="s">
        <v>304</v>
      </c>
      <c r="B1" s="158"/>
      <c r="C1" s="158"/>
      <c r="D1" s="158"/>
      <c r="E1" s="158"/>
    </row>
    <row r="2" spans="1:13" s="2" customFormat="1" ht="33.75" customHeight="1" x14ac:dyDescent="0.25">
      <c r="A2" s="6" t="s">
        <v>44</v>
      </c>
      <c r="B2" s="1" t="s">
        <v>0</v>
      </c>
      <c r="C2" s="6" t="s">
        <v>41</v>
      </c>
      <c r="D2" s="6" t="s">
        <v>48</v>
      </c>
      <c r="E2" s="1" t="s">
        <v>14</v>
      </c>
      <c r="F2" s="40" t="s">
        <v>24</v>
      </c>
      <c r="G2" s="4" t="s">
        <v>22</v>
      </c>
      <c r="H2" s="4" t="s">
        <v>21</v>
      </c>
      <c r="I2" s="41" t="s">
        <v>107</v>
      </c>
      <c r="J2" s="3" t="s">
        <v>21</v>
      </c>
      <c r="K2" s="5" t="s">
        <v>25</v>
      </c>
      <c r="L2" s="5" t="s">
        <v>58</v>
      </c>
      <c r="M2" s="7" t="s">
        <v>60</v>
      </c>
    </row>
    <row r="3" spans="1:13" s="2" customFormat="1" ht="19.5" customHeight="1" x14ac:dyDescent="0.25">
      <c r="A3" s="6"/>
      <c r="B3" s="1"/>
      <c r="C3" s="6"/>
      <c r="D3" s="6"/>
      <c r="E3" s="48" t="s">
        <v>103</v>
      </c>
      <c r="F3" s="49"/>
      <c r="G3" s="4"/>
      <c r="H3" s="4"/>
      <c r="I3" s="3"/>
      <c r="J3" s="3"/>
      <c r="K3" s="5"/>
      <c r="L3" s="5"/>
      <c r="M3" s="7"/>
    </row>
    <row r="4" spans="1:13" ht="25.5" x14ac:dyDescent="0.25">
      <c r="A4" s="50">
        <v>1</v>
      </c>
      <c r="B4" s="51" t="s">
        <v>133</v>
      </c>
      <c r="C4" s="52" t="s">
        <v>7</v>
      </c>
      <c r="D4" s="53" t="s">
        <v>49</v>
      </c>
      <c r="E4" s="54" t="s">
        <v>15</v>
      </c>
      <c r="F4" s="55" t="s">
        <v>62</v>
      </c>
      <c r="G4" s="56"/>
      <c r="H4" s="57"/>
      <c r="I4" s="58"/>
      <c r="J4" s="59"/>
      <c r="K4" s="46" t="s">
        <v>43</v>
      </c>
      <c r="L4" s="17" t="s">
        <v>43</v>
      </c>
      <c r="M4" s="50"/>
    </row>
    <row r="5" spans="1:13" ht="48" x14ac:dyDescent="0.25">
      <c r="A5" s="50">
        <f t="shared" ref="A5:A10" si="0">+A4+1</f>
        <v>2</v>
      </c>
      <c r="B5" s="151" t="s">
        <v>4</v>
      </c>
      <c r="C5" s="61" t="s">
        <v>108</v>
      </c>
      <c r="D5" s="115" t="s">
        <v>49</v>
      </c>
      <c r="E5" s="62" t="s">
        <v>109</v>
      </c>
      <c r="F5" s="55"/>
      <c r="G5" s="56" t="s">
        <v>110</v>
      </c>
      <c r="H5" s="43" t="s">
        <v>221</v>
      </c>
      <c r="I5" s="63" t="s">
        <v>206</v>
      </c>
      <c r="J5" s="64" t="s">
        <v>116</v>
      </c>
      <c r="K5" s="46" t="s">
        <v>208</v>
      </c>
      <c r="L5" s="109">
        <v>44350</v>
      </c>
      <c r="M5" s="50"/>
    </row>
    <row r="6" spans="1:13" ht="26.25" x14ac:dyDescent="0.25">
      <c r="A6" s="50">
        <f t="shared" si="0"/>
        <v>3</v>
      </c>
      <c r="B6" s="151" t="s">
        <v>4</v>
      </c>
      <c r="C6" s="61" t="s">
        <v>147</v>
      </c>
      <c r="D6" s="115" t="s">
        <v>112</v>
      </c>
      <c r="E6" s="62" t="s">
        <v>113</v>
      </c>
      <c r="F6" s="55"/>
      <c r="G6" s="56" t="s">
        <v>114</v>
      </c>
      <c r="H6" s="43" t="s">
        <v>342</v>
      </c>
      <c r="I6" s="65" t="s">
        <v>115</v>
      </c>
      <c r="J6" s="64" t="s">
        <v>116</v>
      </c>
      <c r="K6" s="46" t="s">
        <v>43</v>
      </c>
      <c r="L6" s="17" t="s">
        <v>43</v>
      </c>
      <c r="M6" s="50"/>
    </row>
    <row r="7" spans="1:13" ht="60" x14ac:dyDescent="0.25">
      <c r="A7" s="50">
        <f t="shared" si="0"/>
        <v>4</v>
      </c>
      <c r="B7" s="60" t="s">
        <v>5</v>
      </c>
      <c r="C7" s="61" t="s">
        <v>204</v>
      </c>
      <c r="D7" s="115" t="s">
        <v>112</v>
      </c>
      <c r="E7" s="62" t="s">
        <v>117</v>
      </c>
      <c r="F7" s="55"/>
      <c r="G7" s="56" t="s">
        <v>146</v>
      </c>
      <c r="H7" s="43" t="s">
        <v>343</v>
      </c>
      <c r="I7" s="63" t="s">
        <v>118</v>
      </c>
      <c r="J7" s="64" t="s">
        <v>116</v>
      </c>
      <c r="K7" s="46" t="s">
        <v>43</v>
      </c>
      <c r="L7" s="17" t="s">
        <v>43</v>
      </c>
      <c r="M7" s="50"/>
    </row>
    <row r="8" spans="1:13" ht="40.5" customHeight="1" x14ac:dyDescent="0.25">
      <c r="A8" s="50">
        <f t="shared" si="0"/>
        <v>5</v>
      </c>
      <c r="B8" s="151" t="s">
        <v>119</v>
      </c>
      <c r="C8" s="61" t="s">
        <v>42</v>
      </c>
      <c r="D8" s="61" t="s">
        <v>49</v>
      </c>
      <c r="E8" s="62" t="s">
        <v>120</v>
      </c>
      <c r="F8" s="56"/>
      <c r="G8" s="56" t="s">
        <v>121</v>
      </c>
      <c r="H8" s="43" t="s">
        <v>205</v>
      </c>
      <c r="I8" s="63"/>
      <c r="J8" s="59"/>
      <c r="K8" s="46" t="s">
        <v>43</v>
      </c>
      <c r="L8" s="17" t="s">
        <v>43</v>
      </c>
      <c r="M8" s="50"/>
    </row>
    <row r="9" spans="1:13" ht="48" x14ac:dyDescent="0.25">
      <c r="A9" s="50">
        <f t="shared" si="0"/>
        <v>6</v>
      </c>
      <c r="B9" s="151" t="s">
        <v>119</v>
      </c>
      <c r="C9" s="61" t="s">
        <v>122</v>
      </c>
      <c r="D9" s="116" t="s">
        <v>49</v>
      </c>
      <c r="E9" s="62" t="s">
        <v>123</v>
      </c>
      <c r="F9" s="55"/>
      <c r="G9" s="56" t="s">
        <v>197</v>
      </c>
      <c r="H9" s="43" t="s">
        <v>198</v>
      </c>
      <c r="I9" s="63"/>
      <c r="J9" s="64"/>
      <c r="K9" s="46" t="s">
        <v>43</v>
      </c>
      <c r="L9" s="17" t="s">
        <v>43</v>
      </c>
      <c r="M9" s="50"/>
    </row>
    <row r="10" spans="1:13" ht="72" x14ac:dyDescent="0.25">
      <c r="A10" s="50">
        <f t="shared" si="0"/>
        <v>7</v>
      </c>
      <c r="B10" s="151" t="s">
        <v>119</v>
      </c>
      <c r="C10" s="61" t="s">
        <v>165</v>
      </c>
      <c r="D10" s="61" t="s">
        <v>49</v>
      </c>
      <c r="E10" s="62" t="s">
        <v>124</v>
      </c>
      <c r="F10" s="55"/>
      <c r="G10" s="56" t="s">
        <v>125</v>
      </c>
      <c r="H10" s="43" t="s">
        <v>126</v>
      </c>
      <c r="I10" s="63"/>
      <c r="J10" s="59"/>
      <c r="K10" s="46" t="s">
        <v>43</v>
      </c>
      <c r="L10" s="17" t="s">
        <v>43</v>
      </c>
      <c r="M10" s="50"/>
    </row>
    <row r="11" spans="1:13" x14ac:dyDescent="0.25">
      <c r="A11" s="50"/>
      <c r="B11" s="60"/>
      <c r="C11" s="61"/>
      <c r="D11" s="61"/>
      <c r="E11" s="62"/>
      <c r="F11" s="55"/>
      <c r="G11" s="56"/>
      <c r="H11" s="110"/>
      <c r="I11" s="63"/>
      <c r="J11" s="59"/>
      <c r="K11" s="46" t="s">
        <v>43</v>
      </c>
      <c r="L11" s="17" t="s">
        <v>43</v>
      </c>
      <c r="M11" s="50"/>
    </row>
    <row r="12" spans="1:13" hidden="1" x14ac:dyDescent="0.25">
      <c r="A12" s="50"/>
      <c r="B12" s="60"/>
      <c r="C12" s="61"/>
      <c r="D12" s="61"/>
      <c r="E12" s="62"/>
      <c r="F12" s="55"/>
      <c r="G12" s="56"/>
      <c r="H12" s="110"/>
      <c r="I12" s="63"/>
      <c r="J12" s="59"/>
      <c r="K12" s="46" t="s">
        <v>43</v>
      </c>
      <c r="L12" s="17" t="s">
        <v>43</v>
      </c>
      <c r="M12" s="50"/>
    </row>
    <row r="13" spans="1:13" hidden="1" x14ac:dyDescent="0.25">
      <c r="A13" s="50"/>
      <c r="B13" s="60"/>
      <c r="C13" s="60"/>
      <c r="D13" s="67"/>
      <c r="E13" s="68"/>
      <c r="F13" s="69"/>
      <c r="G13" s="44"/>
      <c r="H13" s="70"/>
      <c r="I13" s="71"/>
      <c r="J13" s="72"/>
      <c r="K13" s="46" t="s">
        <v>43</v>
      </c>
      <c r="L13" s="17" t="s">
        <v>43</v>
      </c>
      <c r="M13" s="50"/>
    </row>
    <row r="14" spans="1:13" ht="20.25" hidden="1" customHeight="1" x14ac:dyDescent="0.25">
      <c r="A14" s="50"/>
      <c r="B14" s="60"/>
      <c r="C14" s="60"/>
      <c r="D14" s="67"/>
      <c r="E14" s="48" t="s">
        <v>102</v>
      </c>
      <c r="F14" s="69"/>
      <c r="G14" s="44"/>
      <c r="H14" s="70"/>
      <c r="I14" s="71"/>
      <c r="J14" s="72"/>
      <c r="K14" s="46" t="s">
        <v>43</v>
      </c>
      <c r="L14" s="17" t="s">
        <v>43</v>
      </c>
      <c r="M14" s="50"/>
    </row>
    <row r="15" spans="1:13" hidden="1" x14ac:dyDescent="0.25">
      <c r="A15" s="50"/>
      <c r="B15" s="60"/>
      <c r="C15" s="60"/>
      <c r="D15" s="67"/>
      <c r="E15" s="73" t="s">
        <v>129</v>
      </c>
      <c r="F15" s="69"/>
      <c r="G15" s="42"/>
      <c r="H15" s="59"/>
      <c r="I15" s="74"/>
      <c r="J15" s="59"/>
      <c r="K15" s="46" t="s">
        <v>43</v>
      </c>
      <c r="L15" s="17" t="s">
        <v>43</v>
      </c>
      <c r="M15" s="50"/>
    </row>
    <row r="16" spans="1:13" ht="36.75" hidden="1" customHeight="1" x14ac:dyDescent="0.25">
      <c r="A16" s="50">
        <f>+A15+1</f>
        <v>1</v>
      </c>
      <c r="B16" s="60"/>
      <c r="C16" s="60"/>
      <c r="D16" s="67"/>
      <c r="E16" s="68"/>
      <c r="F16" s="69"/>
      <c r="G16" s="42"/>
      <c r="H16" s="59"/>
      <c r="I16" s="74"/>
      <c r="J16" s="59"/>
      <c r="K16" s="46" t="s">
        <v>43</v>
      </c>
      <c r="L16" s="17" t="s">
        <v>43</v>
      </c>
      <c r="M16" s="50"/>
    </row>
    <row r="17" spans="1:13" hidden="1" x14ac:dyDescent="0.25">
      <c r="A17" s="50">
        <f>+A16+1</f>
        <v>2</v>
      </c>
      <c r="B17" s="75"/>
      <c r="C17" s="75"/>
      <c r="D17" s="67"/>
      <c r="E17" s="68"/>
      <c r="F17" s="69"/>
      <c r="G17" s="44"/>
      <c r="H17" s="70"/>
      <c r="I17" s="50"/>
      <c r="J17" s="50"/>
      <c r="K17" s="46" t="s">
        <v>43</v>
      </c>
      <c r="L17" s="17" t="s">
        <v>43</v>
      </c>
      <c r="M17" s="50"/>
    </row>
    <row r="18" spans="1:13" hidden="1" x14ac:dyDescent="0.25">
      <c r="A18" s="50">
        <f>+A17+1</f>
        <v>3</v>
      </c>
      <c r="B18" s="75"/>
      <c r="C18" s="75"/>
      <c r="D18" s="67"/>
      <c r="E18" s="68"/>
      <c r="F18" s="69"/>
      <c r="G18" s="44"/>
      <c r="H18" s="70"/>
      <c r="I18" s="50"/>
      <c r="J18" s="50"/>
      <c r="K18" s="46" t="s">
        <v>43</v>
      </c>
      <c r="L18" s="17" t="s">
        <v>43</v>
      </c>
      <c r="M18" s="50"/>
    </row>
    <row r="19" spans="1:13" x14ac:dyDescent="0.25">
      <c r="A19" s="50"/>
      <c r="B19" s="75"/>
      <c r="C19" s="75"/>
      <c r="D19" s="67"/>
      <c r="E19" s="48" t="s">
        <v>104</v>
      </c>
      <c r="F19" s="69"/>
      <c r="G19" s="44"/>
      <c r="H19" s="70"/>
      <c r="I19" s="50"/>
      <c r="J19" s="50"/>
      <c r="K19" s="46"/>
      <c r="L19" s="17"/>
      <c r="M19" s="50"/>
    </row>
    <row r="20" spans="1:13" ht="45" x14ac:dyDescent="0.25">
      <c r="A20" s="50">
        <v>1</v>
      </c>
      <c r="B20" s="60" t="s">
        <v>130</v>
      </c>
      <c r="C20" s="31" t="s">
        <v>75</v>
      </c>
      <c r="D20" s="114" t="s">
        <v>53</v>
      </c>
      <c r="E20" s="11" t="s">
        <v>81</v>
      </c>
      <c r="F20" s="69" t="s">
        <v>62</v>
      </c>
      <c r="G20" s="42" t="s">
        <v>151</v>
      </c>
      <c r="H20" s="43" t="s">
        <v>152</v>
      </c>
      <c r="I20" s="63"/>
      <c r="J20" s="72"/>
      <c r="K20" s="46" t="s">
        <v>43</v>
      </c>
      <c r="L20" s="17" t="s">
        <v>43</v>
      </c>
      <c r="M20" s="50"/>
    </row>
    <row r="21" spans="1:13" ht="45" x14ac:dyDescent="0.25">
      <c r="A21" s="50">
        <f>+A20+1</f>
        <v>2</v>
      </c>
      <c r="B21" s="20" t="s">
        <v>87</v>
      </c>
      <c r="C21" s="31" t="s">
        <v>75</v>
      </c>
      <c r="D21" s="31" t="s">
        <v>53</v>
      </c>
      <c r="E21" s="11" t="s">
        <v>81</v>
      </c>
      <c r="F21" s="69" t="s">
        <v>62</v>
      </c>
      <c r="G21" s="42" t="s">
        <v>151</v>
      </c>
      <c r="H21" s="43" t="s">
        <v>152</v>
      </c>
      <c r="I21" s="63"/>
      <c r="J21" s="72"/>
      <c r="K21" s="46" t="s">
        <v>43</v>
      </c>
      <c r="L21" s="17" t="s">
        <v>43</v>
      </c>
      <c r="M21" s="50"/>
    </row>
    <row r="22" spans="1:13" x14ac:dyDescent="0.25">
      <c r="A22" s="50">
        <f>+A21+1</f>
        <v>3</v>
      </c>
      <c r="B22" s="60"/>
      <c r="C22" s="60"/>
      <c r="D22" s="67"/>
      <c r="E22" s="68"/>
      <c r="F22" s="69"/>
      <c r="G22" s="42"/>
      <c r="H22" s="59"/>
      <c r="I22" s="63"/>
      <c r="J22" s="72"/>
      <c r="K22" s="50"/>
      <c r="L22" s="50"/>
      <c r="M22" s="50"/>
    </row>
  </sheetData>
  <autoFilter ref="A2:M11"/>
  <mergeCells count="1">
    <mergeCell ref="A1:E1"/>
  </mergeCells>
  <pageMargins left="0.70866141732283472" right="0.70866141732283472" top="0.39370078740157483" bottom="0.39370078740157483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K20"/>
  <sheetViews>
    <sheetView topLeftCell="C1" workbookViewId="0">
      <selection activeCell="J7" sqref="J7"/>
    </sheetView>
  </sheetViews>
  <sheetFormatPr defaultRowHeight="15" x14ac:dyDescent="0.25"/>
  <cols>
    <col min="1" max="1" width="6.7109375" bestFit="1" customWidth="1"/>
    <col min="2" max="2" width="33.42578125" bestFit="1" customWidth="1"/>
    <col min="3" max="3" width="10.5703125" customWidth="1"/>
    <col min="4" max="4" width="15.85546875" bestFit="1" customWidth="1"/>
    <col min="5" max="5" width="12.7109375" customWidth="1"/>
    <col min="6" max="6" width="35" customWidth="1"/>
    <col min="7" max="7" width="22.5703125" customWidth="1"/>
    <col min="8" max="8" width="14.28515625" customWidth="1"/>
    <col min="9" max="9" width="22" bestFit="1" customWidth="1"/>
    <col min="10" max="10" width="27.28515625" bestFit="1" customWidth="1"/>
    <col min="11" max="11" width="15" customWidth="1"/>
  </cols>
  <sheetData>
    <row r="3" spans="1:11" x14ac:dyDescent="0.25">
      <c r="G3" s="99" t="s">
        <v>182</v>
      </c>
    </row>
    <row r="4" spans="1:11" s="98" customFormat="1" ht="30" x14ac:dyDescent="0.25">
      <c r="A4" s="96" t="s">
        <v>44</v>
      </c>
      <c r="B4" s="95" t="s">
        <v>0</v>
      </c>
      <c r="C4" s="95" t="s">
        <v>88</v>
      </c>
      <c r="D4" s="96" t="s">
        <v>41</v>
      </c>
      <c r="E4" s="96" t="s">
        <v>48</v>
      </c>
      <c r="F4" s="95" t="s">
        <v>14</v>
      </c>
      <c r="G4" s="97" t="s">
        <v>22</v>
      </c>
      <c r="H4" s="97" t="s">
        <v>21</v>
      </c>
      <c r="I4" s="97" t="s">
        <v>60</v>
      </c>
      <c r="J4" s="5" t="s">
        <v>25</v>
      </c>
      <c r="K4" s="5" t="s">
        <v>58</v>
      </c>
    </row>
    <row r="5" spans="1:11" ht="45" x14ac:dyDescent="0.25">
      <c r="A5" s="50">
        <v>1</v>
      </c>
      <c r="B5" s="20" t="s">
        <v>4</v>
      </c>
      <c r="C5" s="36" t="s">
        <v>89</v>
      </c>
      <c r="D5" s="35" t="s">
        <v>43</v>
      </c>
      <c r="E5" s="31" t="s">
        <v>65</v>
      </c>
      <c r="F5" s="24" t="s">
        <v>80</v>
      </c>
      <c r="G5" s="33" t="s">
        <v>181</v>
      </c>
      <c r="H5" s="34" t="s">
        <v>183</v>
      </c>
      <c r="I5" s="34" t="s">
        <v>149</v>
      </c>
      <c r="J5" s="82" t="s">
        <v>194</v>
      </c>
      <c r="K5" s="50"/>
    </row>
    <row r="6" spans="1:11" ht="60" x14ac:dyDescent="0.25">
      <c r="A6" s="50">
        <f>+A5+1</f>
        <v>2</v>
      </c>
      <c r="B6" s="20" t="s">
        <v>5</v>
      </c>
      <c r="C6" s="36" t="s">
        <v>89</v>
      </c>
      <c r="D6" s="36" t="s">
        <v>12</v>
      </c>
      <c r="E6" s="29" t="s">
        <v>49</v>
      </c>
      <c r="F6" s="24" t="s">
        <v>19</v>
      </c>
      <c r="G6" s="42" t="s">
        <v>100</v>
      </c>
      <c r="H6" s="34" t="s">
        <v>101</v>
      </c>
      <c r="I6" s="34" t="s">
        <v>149</v>
      </c>
      <c r="J6" s="10" t="s">
        <v>59</v>
      </c>
      <c r="K6" s="12">
        <v>44747</v>
      </c>
    </row>
    <row r="7" spans="1:11" ht="60" x14ac:dyDescent="0.25">
      <c r="A7" s="50">
        <f>+A6+1</f>
        <v>3</v>
      </c>
      <c r="B7" s="20" t="s">
        <v>5</v>
      </c>
      <c r="C7" s="36" t="s">
        <v>89</v>
      </c>
      <c r="D7" s="23" t="s">
        <v>163</v>
      </c>
      <c r="E7" s="29" t="s">
        <v>49</v>
      </c>
      <c r="F7" s="24" t="s">
        <v>158</v>
      </c>
      <c r="G7" s="42" t="s">
        <v>167</v>
      </c>
      <c r="H7" s="34" t="s">
        <v>168</v>
      </c>
      <c r="I7" s="34" t="s">
        <v>149</v>
      </c>
      <c r="J7" s="82" t="s">
        <v>140</v>
      </c>
      <c r="K7" s="50"/>
    </row>
    <row r="8" spans="1:11" ht="30" x14ac:dyDescent="0.25">
      <c r="A8" s="50">
        <f>+A7+1</f>
        <v>4</v>
      </c>
      <c r="B8" s="20" t="s">
        <v>5</v>
      </c>
      <c r="C8" s="36" t="s">
        <v>89</v>
      </c>
      <c r="D8" s="29" t="s">
        <v>71</v>
      </c>
      <c r="E8" s="29" t="s">
        <v>66</v>
      </c>
      <c r="F8" s="21" t="s">
        <v>76</v>
      </c>
      <c r="G8" s="44" t="s">
        <v>156</v>
      </c>
      <c r="H8" s="34" t="s">
        <v>157</v>
      </c>
      <c r="I8" s="34" t="s">
        <v>149</v>
      </c>
      <c r="J8" s="82" t="s">
        <v>140</v>
      </c>
      <c r="K8" s="50"/>
    </row>
    <row r="9" spans="1:11" ht="45" x14ac:dyDescent="0.25">
      <c r="A9" s="50">
        <f>+A8+1</f>
        <v>5</v>
      </c>
      <c r="B9" s="20" t="s">
        <v>5</v>
      </c>
      <c r="C9" s="36" t="s">
        <v>89</v>
      </c>
      <c r="D9" s="29" t="s">
        <v>184</v>
      </c>
      <c r="E9" s="29" t="s">
        <v>174</v>
      </c>
      <c r="F9" s="21" t="s">
        <v>185</v>
      </c>
      <c r="G9" s="44" t="s">
        <v>176</v>
      </c>
      <c r="H9" s="34" t="s">
        <v>177</v>
      </c>
      <c r="I9" s="34" t="s">
        <v>149</v>
      </c>
      <c r="J9" s="82" t="s">
        <v>194</v>
      </c>
      <c r="K9" s="50"/>
    </row>
    <row r="10" spans="1:11" x14ac:dyDescent="0.25">
      <c r="A10" s="50">
        <f>+A9+1</f>
        <v>6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</row>
    <row r="11" spans="1:11" x14ac:dyDescent="0.25">
      <c r="A11" s="50"/>
      <c r="B11" s="50"/>
      <c r="C11" s="50"/>
      <c r="D11" s="50"/>
      <c r="E11" s="50"/>
      <c r="F11" s="100" t="s">
        <v>189</v>
      </c>
      <c r="G11" s="50"/>
      <c r="H11" s="50"/>
      <c r="I11" s="50"/>
      <c r="J11" s="50"/>
      <c r="K11" s="50"/>
    </row>
    <row r="12" spans="1:11" ht="60" x14ac:dyDescent="0.25">
      <c r="A12" s="50">
        <v>1</v>
      </c>
      <c r="B12" s="20" t="s">
        <v>67</v>
      </c>
      <c r="C12" s="36" t="s">
        <v>89</v>
      </c>
      <c r="D12" s="29" t="s">
        <v>73</v>
      </c>
      <c r="E12" s="38" t="s">
        <v>54</v>
      </c>
      <c r="F12" s="21" t="s">
        <v>82</v>
      </c>
      <c r="G12" s="76" t="s">
        <v>99</v>
      </c>
      <c r="H12" s="34" t="s">
        <v>96</v>
      </c>
      <c r="I12" s="34" t="s">
        <v>149</v>
      </c>
      <c r="J12" s="50"/>
      <c r="K12" s="50"/>
    </row>
    <row r="13" spans="1:11" ht="60" x14ac:dyDescent="0.25">
      <c r="A13" s="50">
        <f>+A12+1</f>
        <v>2</v>
      </c>
      <c r="B13" s="20" t="s">
        <v>4</v>
      </c>
      <c r="C13" s="36" t="s">
        <v>89</v>
      </c>
      <c r="D13" s="31" t="s">
        <v>75</v>
      </c>
      <c r="E13" s="37" t="s">
        <v>53</v>
      </c>
      <c r="F13" s="11" t="s">
        <v>81</v>
      </c>
      <c r="G13" s="33" t="s">
        <v>92</v>
      </c>
      <c r="H13" s="34" t="s">
        <v>93</v>
      </c>
      <c r="I13" s="34" t="s">
        <v>149</v>
      </c>
      <c r="J13" s="50"/>
      <c r="K13" s="50"/>
    </row>
    <row r="14" spans="1:11" ht="45" x14ac:dyDescent="0.25">
      <c r="A14" s="50">
        <v>3</v>
      </c>
      <c r="B14" s="20" t="s">
        <v>67</v>
      </c>
      <c r="C14" s="36" t="s">
        <v>89</v>
      </c>
      <c r="D14" s="29"/>
      <c r="E14" s="39" t="s">
        <v>79</v>
      </c>
      <c r="F14" s="21" t="s">
        <v>84</v>
      </c>
      <c r="G14" s="27" t="s">
        <v>136</v>
      </c>
      <c r="H14" s="34" t="s">
        <v>137</v>
      </c>
      <c r="I14" s="34" t="s">
        <v>149</v>
      </c>
      <c r="J14" s="50"/>
      <c r="K14" s="50"/>
    </row>
    <row r="15" spans="1:11" x14ac:dyDescent="0.2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</row>
    <row r="16" spans="1:11" x14ac:dyDescent="0.25">
      <c r="A16" s="50"/>
      <c r="B16" s="50"/>
      <c r="C16" s="50"/>
      <c r="D16" s="50"/>
      <c r="E16" s="50"/>
      <c r="F16" s="100" t="s">
        <v>186</v>
      </c>
      <c r="G16" s="50"/>
      <c r="H16" s="50"/>
      <c r="I16" s="50"/>
      <c r="J16" s="50"/>
      <c r="K16" s="50"/>
    </row>
    <row r="17" spans="1:11" ht="72" x14ac:dyDescent="0.25">
      <c r="A17" s="50">
        <v>1</v>
      </c>
      <c r="B17" s="60" t="s">
        <v>4</v>
      </c>
      <c r="C17" s="36" t="s">
        <v>89</v>
      </c>
      <c r="D17" s="61" t="s">
        <v>108</v>
      </c>
      <c r="E17" s="53" t="s">
        <v>49</v>
      </c>
      <c r="F17" s="62" t="s">
        <v>109</v>
      </c>
      <c r="G17" s="56" t="s">
        <v>110</v>
      </c>
      <c r="H17" s="43" t="s">
        <v>111</v>
      </c>
      <c r="I17" s="43" t="s">
        <v>186</v>
      </c>
      <c r="J17" s="50"/>
      <c r="K17" s="50"/>
    </row>
    <row r="18" spans="1:11" ht="60" x14ac:dyDescent="0.25">
      <c r="A18" s="50">
        <v>2</v>
      </c>
      <c r="B18" s="60" t="s">
        <v>5</v>
      </c>
      <c r="C18" s="36" t="s">
        <v>89</v>
      </c>
      <c r="D18" s="61" t="s">
        <v>204</v>
      </c>
      <c r="E18" s="53" t="s">
        <v>112</v>
      </c>
      <c r="F18" s="62" t="s">
        <v>117</v>
      </c>
      <c r="G18" s="56" t="s">
        <v>146</v>
      </c>
      <c r="H18" s="43" t="s">
        <v>145</v>
      </c>
      <c r="I18" s="43" t="s">
        <v>186</v>
      </c>
      <c r="J18" s="50"/>
      <c r="K18" s="50"/>
    </row>
    <row r="19" spans="1:11" ht="36" x14ac:dyDescent="0.25">
      <c r="A19" s="50">
        <v>3</v>
      </c>
      <c r="B19" s="60" t="s">
        <v>5</v>
      </c>
      <c r="C19" s="36" t="s">
        <v>89</v>
      </c>
      <c r="D19" s="61" t="s">
        <v>166</v>
      </c>
      <c r="E19" s="61" t="s">
        <v>127</v>
      </c>
      <c r="F19" s="62" t="s">
        <v>128</v>
      </c>
      <c r="G19" s="56" t="s">
        <v>143</v>
      </c>
      <c r="H19" s="66" t="s">
        <v>144</v>
      </c>
      <c r="I19" s="43" t="s">
        <v>186</v>
      </c>
      <c r="J19" s="50"/>
      <c r="K19" s="50"/>
    </row>
    <row r="20" spans="1:11" x14ac:dyDescent="0.25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14" sqref="N14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J7"/>
  <sheetViews>
    <sheetView workbookViewId="0">
      <selection activeCell="N9" sqref="N9"/>
    </sheetView>
  </sheetViews>
  <sheetFormatPr defaultRowHeight="15" x14ac:dyDescent="0.25"/>
  <cols>
    <col min="5" max="5" width="6.7109375" bestFit="1" customWidth="1"/>
    <col min="6" max="6" width="21" bestFit="1" customWidth="1"/>
    <col min="7" max="7" width="4.85546875" bestFit="1" customWidth="1"/>
    <col min="8" max="8" width="7.85546875" customWidth="1"/>
    <col min="9" max="9" width="18.42578125" customWidth="1"/>
    <col min="10" max="10" width="11.28515625" bestFit="1" customWidth="1"/>
  </cols>
  <sheetData>
    <row r="4" spans="5:10" x14ac:dyDescent="0.25">
      <c r="E4" s="142" t="s">
        <v>44</v>
      </c>
      <c r="F4" s="143" t="s">
        <v>321</v>
      </c>
      <c r="G4" s="143" t="s">
        <v>322</v>
      </c>
      <c r="H4" s="143" t="s">
        <v>323</v>
      </c>
      <c r="I4" s="143" t="s">
        <v>327</v>
      </c>
      <c r="J4" s="143" t="s">
        <v>324</v>
      </c>
    </row>
    <row r="5" spans="5:10" x14ac:dyDescent="0.25">
      <c r="E5" s="144">
        <v>1</v>
      </c>
      <c r="F5" s="145" t="s">
        <v>325</v>
      </c>
      <c r="G5" s="146">
        <v>1</v>
      </c>
      <c r="H5" s="146">
        <v>13500</v>
      </c>
      <c r="I5" s="146">
        <v>10000</v>
      </c>
      <c r="J5" s="146">
        <v>23500</v>
      </c>
    </row>
    <row r="6" spans="5:10" x14ac:dyDescent="0.25">
      <c r="E6" s="144">
        <v>2</v>
      </c>
      <c r="F6" s="145" t="s">
        <v>148</v>
      </c>
      <c r="G6" s="146">
        <v>1</v>
      </c>
      <c r="H6" s="146">
        <v>4000</v>
      </c>
      <c r="I6" s="146">
        <v>10000</v>
      </c>
      <c r="J6" s="146">
        <v>14000</v>
      </c>
    </row>
    <row r="7" spans="5:10" x14ac:dyDescent="0.25">
      <c r="E7" s="147"/>
      <c r="F7" s="145"/>
      <c r="G7" s="145"/>
      <c r="H7" s="145"/>
      <c r="I7" s="148" t="s">
        <v>326</v>
      </c>
      <c r="J7" s="148">
        <f>SUM(J5:J6)</f>
        <v>37500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AWPL</vt:lpstr>
      <vt:lpstr>KI AGRI</vt:lpstr>
      <vt:lpstr>Repacker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Kumar Rana</dc:creator>
  <cp:lastModifiedBy>LENOVO</cp:lastModifiedBy>
  <cp:lastPrinted>2025-04-03T12:13:52Z</cp:lastPrinted>
  <dcterms:created xsi:type="dcterms:W3CDTF">2023-10-26T08:07:02Z</dcterms:created>
  <dcterms:modified xsi:type="dcterms:W3CDTF">2025-11-13T06:51:05Z</dcterms:modified>
</cp:coreProperties>
</file>